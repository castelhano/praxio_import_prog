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io\praxio_import_prog\"/>
    </mc:Choice>
  </mc:AlternateContent>
  <bookViews>
    <workbookView xWindow="0" yWindow="0" windowWidth="16390" windowHeight="8195" tabRatio="787" activeTab="1"/>
  </bookViews>
  <sheets>
    <sheet name="READ_ME" sheetId="2" r:id="rId1"/>
    <sheet name="dados" sheetId="3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" i="3" l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</calcChain>
</file>

<file path=xl/sharedStrings.xml><?xml version="1.0" encoding="utf-8"?>
<sst xmlns="http://schemas.openxmlformats.org/spreadsheetml/2006/main" count="398" uniqueCount="224">
  <si>
    <t>Parametros Gerais</t>
  </si>
  <si>
    <t>seq:</t>
  </si>
  <si>
    <t>COD_PROG</t>
  </si>
  <si>
    <t>sentido:</t>
  </si>
  <si>
    <t>I</t>
  </si>
  <si>
    <t>V</t>
  </si>
  <si>
    <t>LINHA</t>
  </si>
  <si>
    <t>cod:</t>
  </si>
  <si>
    <t>COD_IDA</t>
  </si>
  <si>
    <t>COD_VOLTA</t>
  </si>
  <si>
    <t>INTERV</t>
  </si>
  <si>
    <t>PREPARO min</t>
  </si>
  <si>
    <t>ACESSO</t>
  </si>
  <si>
    <t>RECOLHE</t>
  </si>
  <si>
    <t>COD_PEGADA</t>
  </si>
  <si>
    <t>RECO</t>
  </si>
  <si>
    <t>Carro</t>
  </si>
  <si>
    <t>Local</t>
  </si>
  <si>
    <t>TT 1o</t>
  </si>
  <si>
    <t>LEG</t>
  </si>
  <si>
    <t>Campos de identificação</t>
  </si>
  <si>
    <t>TT 2o</t>
  </si>
  <si>
    <t>Campos de alteração</t>
  </si>
  <si>
    <t>TT 3o</t>
  </si>
  <si>
    <t>Especificação de viagens</t>
  </si>
  <si>
    <t>Viagem</t>
  </si>
  <si>
    <t>Sentido</t>
  </si>
  <si>
    <t>Tipo</t>
  </si>
  <si>
    <t>Ativid</t>
  </si>
  <si>
    <t>Linha</t>
  </si>
  <si>
    <t>Preparo</t>
  </si>
  <si>
    <t>Acesso</t>
  </si>
  <si>
    <t>Recolhe</t>
  </si>
  <si>
    <t>410U07</t>
  </si>
  <si>
    <t>Tabela</t>
  </si>
  <si>
    <t>Nome</t>
  </si>
  <si>
    <t>Inicio</t>
  </si>
  <si>
    <t>Fim</t>
  </si>
  <si>
    <t>Garagem</t>
  </si>
  <si>
    <t>Especificação de tabelas</t>
  </si>
  <si>
    <t>06A</t>
  </si>
  <si>
    <t>06C</t>
  </si>
  <si>
    <t>Periodo</t>
  </si>
  <si>
    <t>A22B</t>
  </si>
  <si>
    <t>i</t>
  </si>
  <si>
    <t>06X</t>
  </si>
  <si>
    <t>LINHA_CIRCULAR</t>
  </si>
  <si>
    <t>texto</t>
  </si>
  <si>
    <t>true | false</t>
  </si>
  <si>
    <t>hora | inteiro</t>
  </si>
  <si>
    <t>false</t>
  </si>
  <si>
    <t>02A</t>
  </si>
  <si>
    <t>→</t>
  </si>
  <si>
    <t>CONVENÇÕES UTILIZADAS:</t>
  </si>
  <si>
    <t>GUIA DE USO</t>
  </si>
  <si>
    <t>SEGUINTES CRITÉRIOS:</t>
  </si>
  <si>
    <t>●</t>
  </si>
  <si>
    <r>
      <t xml:space="preserve">SE </t>
    </r>
    <r>
      <rPr>
        <b/>
        <sz val="10"/>
        <color theme="1"/>
        <rFont val="Consolas"/>
        <family val="3"/>
      </rPr>
      <t>TEM</t>
    </r>
    <r>
      <rPr>
        <sz val="10"/>
        <color theme="1"/>
        <rFont val="Consolas"/>
        <family val="3"/>
      </rPr>
      <t xml:space="preserve"> VIAGENS POSTERIORES INTERPRETA COMO </t>
    </r>
    <r>
      <rPr>
        <b/>
        <sz val="10"/>
        <color theme="1"/>
        <rFont val="Consolas"/>
        <family val="3"/>
      </rPr>
      <t>INTERVALO</t>
    </r>
    <r>
      <rPr>
        <sz val="10"/>
        <color theme="1"/>
        <rFont val="Consolas"/>
        <family val="3"/>
      </rPr>
      <t>.</t>
    </r>
  </si>
  <si>
    <r>
      <t xml:space="preserve">SE </t>
    </r>
    <r>
      <rPr>
        <b/>
        <sz val="10"/>
        <color theme="1"/>
        <rFont val="Consolas"/>
        <family val="3"/>
      </rPr>
      <t>NÃO TEM</t>
    </r>
    <r>
      <rPr>
        <sz val="10"/>
        <color theme="1"/>
        <rFont val="Consolas"/>
        <family val="3"/>
      </rPr>
      <t xml:space="preserve"> VIAGENS POSTERIORES INTERPRETA COMO </t>
    </r>
    <r>
      <rPr>
        <b/>
        <sz val="10"/>
        <color theme="1"/>
        <rFont val="Consolas"/>
        <family val="3"/>
      </rPr>
      <t>RECOLHIDA</t>
    </r>
    <r>
      <rPr>
        <sz val="10"/>
        <color theme="1"/>
        <rFont val="Consolas"/>
        <family val="3"/>
      </rPr>
      <t>.</t>
    </r>
  </si>
  <si>
    <r>
      <rPr>
        <b/>
        <sz val="10"/>
        <color theme="1"/>
        <rFont val="Consolas"/>
        <family val="3"/>
      </rPr>
      <t>CÉLULAS EM BRANCO</t>
    </r>
    <r>
      <rPr>
        <sz val="10"/>
        <color theme="1"/>
        <rFont val="Consolas"/>
        <family val="3"/>
      </rPr>
      <t xml:space="preserve"> ENTRE VIAGENS SÃO INTERPRETADAS COMO INTERRUPÇÃO DA TABELA, SEGUINDO OS</t>
    </r>
  </si>
  <si>
    <t>MEIA VIAGEM PRODUTIVA DAS 06h20 AS 06h56</t>
  </si>
  <si>
    <t>VIAGEM PRODUTIVA, DAS 05h21 AS 06H20, INICIA NO VOLTA (MEIA VIAGEM)</t>
  </si>
  <si>
    <t>EXEMPLO USADO PELO MOTOR PARA LINHA CIRCULAR:</t>
  </si>
  <si>
    <t>true</t>
  </si>
  <si>
    <t>CARROS OCUPAM SEMPRE DUAS COLUNAS NO GRID DE VIAGENS, ONDE A PRIMEIRA DEFINE AS VIAGENS</t>
  </si>
  <si>
    <r>
      <t xml:space="preserve">[!] SCRIPT SEGUE ABORDAGEM DIRECIONADA POR </t>
    </r>
    <r>
      <rPr>
        <b/>
        <sz val="10"/>
        <color theme="9" tint="-0.499984740745262"/>
        <rFont val="Consolas"/>
        <family val="3"/>
      </rPr>
      <t>CONVENÇÃO</t>
    </r>
    <r>
      <rPr>
        <sz val="10"/>
        <color theme="1"/>
        <rFont val="Consolas"/>
        <family val="3"/>
      </rPr>
      <t xml:space="preserve"> + </t>
    </r>
    <r>
      <rPr>
        <b/>
        <sz val="10"/>
        <color theme="9" tint="-0.499984740745262"/>
        <rFont val="Consolas"/>
        <family val="3"/>
      </rPr>
      <t>CONFIGURAÇÃO</t>
    </r>
    <r>
      <rPr>
        <sz val="10"/>
        <color theme="1"/>
        <rFont val="Consolas"/>
        <family val="3"/>
      </rPr>
      <t>.</t>
    </r>
  </si>
  <si>
    <t>DUAS VIAGENS PRODUTIVAS: 06h10 AS 06h46 IDA | 06h46 AS 07h40 VOLTA</t>
  </si>
  <si>
    <t>07h40 PARADA PARA INTERVALO</t>
  </si>
  <si>
    <t>SOMA VALOR NO TEMPO DA RECOLHIDA</t>
  </si>
  <si>
    <t>TEXTOS INSERIDOS NAS CÉLULAS DO GRID DE VIAGENS SÃO DESCONSIDERADOS, NÃO INFLUENCIANDO NA LÓGICA DO ENGINE.</t>
  </si>
  <si>
    <r>
      <rPr>
        <b/>
        <sz val="10"/>
        <color theme="1"/>
        <rFont val="Consolas"/>
        <family val="3"/>
      </rPr>
      <t>TROCAS DE TURNO</t>
    </r>
    <r>
      <rPr>
        <sz val="10"/>
        <color theme="1"/>
        <rFont val="Consolas"/>
        <family val="3"/>
      </rPr>
      <t>: CADA CARRO PODE TER ATÉ 3 TROCAS DE TURNO (4 CONDUTORES EM UM CARRO) DEVENDO SER INFORMADO</t>
    </r>
  </si>
  <si>
    <t>VIAGEM DE IDA, MESMA IDEIA PARA VOLTA, EXEMPLO:</t>
  </si>
  <si>
    <t>PRIMEIRA RENDIÇÃO DO CARRO AS 12h10, SENTIDO IDA</t>
  </si>
  <si>
    <t>SEGUNDA RENDIÇÃO DO CARRO AS 16h00, SENTIDO VOLTA</t>
  </si>
  <si>
    <t>SE NO SENTIDO IDA DESTE CARRO NÃO EXISTIR UMA ENTRADA CORRESPONDENTE (12h10) RENDIÇÃO NÃO SERÁ GERADA.</t>
  </si>
  <si>
    <t>CONFIGURAÇÕES</t>
  </si>
  <si>
    <r>
      <rPr>
        <b/>
        <sz val="10"/>
        <color theme="1"/>
        <rFont val="Consolas"/>
        <family val="3"/>
      </rPr>
      <t>CONFIGURAÇÃO DE PROGRAMAÇÃO</t>
    </r>
    <r>
      <rPr>
        <sz val="10"/>
        <color theme="1"/>
        <rFont val="Consolas"/>
        <family val="3"/>
      </rPr>
      <t>: REALIZADA NA PRÓPRIA PLANILHA NOS CAMPOS CORRESPONDENTES, ESTES AJUSTES SÃO</t>
    </r>
  </si>
  <si>
    <r>
      <rPr>
        <b/>
        <sz val="10"/>
        <color theme="1"/>
        <rFont val="Consolas"/>
        <family val="3"/>
      </rPr>
      <t>CONFIGURAÇÃO DO ENGINE</t>
    </r>
    <r>
      <rPr>
        <sz val="10"/>
        <color theme="1"/>
        <rFont val="Consolas"/>
        <family val="3"/>
      </rPr>
      <t xml:space="preserve">: REALIZADA NO ARQUIVO </t>
    </r>
    <r>
      <rPr>
        <b/>
        <sz val="10"/>
        <color theme="1"/>
        <rFont val="Consolas"/>
        <family val="3"/>
      </rPr>
      <t>SETTINGS.JS</t>
    </r>
    <r>
      <rPr>
        <sz val="10"/>
        <color theme="1"/>
        <rFont val="Consolas"/>
        <family val="3"/>
      </rPr>
      <t>, AQUI AS CONFIGURAÇÕES DIZEM RESPEITO AO</t>
    </r>
  </si>
  <si>
    <t>FUNCIONAMENTO DO MOTOR, E SERÃO APLICADAS AS TODAS AS PROGRAMAÇÕES</t>
  </si>
  <si>
    <t>[!] O MOTOR USA DOIS TIPOS DE CONFIGURAÇÃO:</t>
  </si>
  <si>
    <t>EXCLUSIVOS PARA A LINHA / PROGRAMAÇÃO.</t>
  </si>
  <si>
    <t>CONFIGURAÇÃO DE PROGRAMAÇÃO</t>
  </si>
  <si>
    <t>NOME DA PROGRAMAÇÃO CRIADA NO GLOBUS</t>
  </si>
  <si>
    <t>IDENTIFICAÇÃO DA LINHA</t>
  </si>
  <si>
    <t>CODIGO DO LOCAL DAS VIAGENS DE IDA</t>
  </si>
  <si>
    <t>CODIGO DO LOCAL DAS VIAGENS DE VOLTA</t>
  </si>
  <si>
    <t>TEMPO DE ACESSO (PODE INTEIRO: 20 OU HORA: 00:20)</t>
  </si>
  <si>
    <t>TEMPO DE RECOLHE (PODE INTEIRO: 20 OU HORA: 00:20)</t>
  </si>
  <si>
    <t>CÓDIGO DO LOCAL DE PEGADA (CÓDIGO DA GARAGEM)</t>
  </si>
  <si>
    <t>DEFINIE SE É CIRCULAR (true ou 1 CIRCULAR) (false ou 0 IDA + VOLTA)</t>
  </si>
  <si>
    <t>SEQUENCIA DO CARRO (NÃO DEVE SER ALTERADO)</t>
  </si>
  <si>
    <t>SENTIDO DA COLUNA (NÃO DEVE SER ALTERADO)</t>
  </si>
  <si>
    <t>CÓDIGO DO LOCAL DO SENTIDO:</t>
  </si>
  <si>
    <t>19h04 RECOLHE, SE INFORMADO</t>
  </si>
  <si>
    <t>POR PADRÃO O MOTOR USA</t>
  </si>
  <si>
    <t>PARA ATRIBUIR O LOCAL, PORÉM</t>
  </si>
  <si>
    <t>É POSSIVEL ALTERAR PARA UM CARRO EM ESPECIFICO CODIGOS DIFERENTES PARA TODAS</t>
  </si>
  <si>
    <t>AS VIAGENS DE DETERMINADO SENTIDO, NESTE EXEMPLO O CODIGO 163 SERÁ APLICADO</t>
  </si>
  <si>
    <r>
      <t xml:space="preserve">A </t>
    </r>
    <r>
      <rPr>
        <b/>
        <sz val="10"/>
        <color theme="1"/>
        <rFont val="Consolas"/>
        <family val="3"/>
      </rPr>
      <t>TODAS AS VIAGENS DE VOLTA</t>
    </r>
    <r>
      <rPr>
        <sz val="10"/>
        <color theme="1"/>
        <rFont val="Consolas"/>
        <family val="3"/>
      </rPr>
      <t xml:space="preserve"> DO CARRO 01.</t>
    </r>
  </si>
  <si>
    <t>PERMITE ALTERAR DEFINIÇÕES PARA UMA DETERMINADA VIAGEM (OU</t>
  </si>
  <si>
    <t>VÁRIAS EM LOTE)</t>
  </si>
  <si>
    <t>OS CAMPOS</t>
  </si>
  <si>
    <t>FUNCIONAM</t>
  </si>
  <si>
    <t>[ EXEMPLO 01 ]</t>
  </si>
  <si>
    <t>[ EXEMPLO 02 ]</t>
  </si>
  <si>
    <t>DE 05h20 DO CARRO 2 SENTIDO IDA TERÁ O LOCAL ALTERADO PARA</t>
  </si>
  <si>
    <t>57, E A LINHA USADA COMO REFERÊNCIA SERÁ A22B.</t>
  </si>
  <si>
    <t>JÁ NO EXEMPLO 02, TODAS AS VIAGENS DO CARRO 2 SENTIDO IDA</t>
  </si>
  <si>
    <t>TERÃO O LOCAL E LINHA ALTERADO, POIS NÃO FOI ESPECIFICADO A</t>
  </si>
  <si>
    <t>ALTERADAS</t>
  </si>
  <si>
    <t>VIAGEM, TODAS AS VIAGENS QUE ATENDEREM AOS CRITÉRIOS SERÃO</t>
  </si>
  <si>
    <t>PERMITE ALTERAÇÕES NAS DEFINIÇÕES DE TABELAS</t>
  </si>
  <si>
    <t>ESPERA RECEBER UMA ENTRADA VÁLIDA, SE NÃO IDENTIFICADO</t>
  </si>
  <si>
    <t>TABELA COM VALOR INFORMADO AJUSTE É DESCONSIDERADO</t>
  </si>
  <si>
    <t>NOME</t>
  </si>
  <si>
    <t>INICIO</t>
  </si>
  <si>
    <t>FIM</t>
  </si>
  <si>
    <t>PERIODO</t>
  </si>
  <si>
    <t>GARAGEM</t>
  </si>
  <si>
    <t>PREPARO</t>
  </si>
  <si>
    <t>ALTERA O NOME DA TABELA, DE 06A PARA 06X</t>
  </si>
  <si>
    <t>ALTERA INICIO DA TABELA</t>
  </si>
  <si>
    <t>ALTERA FIM DA TABELA</t>
  </si>
  <si>
    <t>ALTERA O PERIODO DA TABELA</t>
  </si>
  <si>
    <t>ALTERA LOCAL DE PEGADA (GARAGEM)</t>
  </si>
  <si>
    <t>ALTERA TEMPO DE PREPARO</t>
  </si>
  <si>
    <t>CONFIGURAÇÃO DO ENGINE</t>
  </si>
  <si>
    <t>[!] ATENÇÃO, ALTERE ESTE ARQUIVO COM CUIDADO, QUALQUER CARACTERE INSRRIDO DE MANEIRA INCORRETA VAI QUEBRAR O FUNCIONAMENTO</t>
  </si>
  <si>
    <t>DO ENGINE.</t>
  </si>
  <si>
    <t>camposDisponiveis:</t>
  </si>
  <si>
    <t>RELAÇÃO DE CAMPOS DISPÓNIVEIS NO MÓDULO DE IMPORTAÇÃO DO GLOBUS. OS NOMES INFORMADOS AQUI DEVEM CORRESPONDER AO</t>
  </si>
  <si>
    <r>
      <t xml:space="preserve">CAMPO </t>
    </r>
    <r>
      <rPr>
        <b/>
        <sz val="10"/>
        <color theme="1"/>
        <rFont val="Calibri"/>
        <family val="2"/>
      </rPr>
      <t>FIELD</t>
    </r>
    <r>
      <rPr>
        <sz val="10"/>
        <color theme="1"/>
        <rFont val="Calibri"/>
        <family val="2"/>
        <charset val="1"/>
      </rPr>
      <t xml:space="preserve"> DO LAYOUT, E SERÁ USADO COMO CABEÇALHO OS ARQUIVOS DE EXPORTAÇÃO</t>
    </r>
  </si>
  <si>
    <t>guiaAnalise:</t>
  </si>
  <si>
    <t>NOME DA GUIA DA PLANILHA EXCEL A SER ANALIZADA, INFORMAR AQUI GUIA NÃO EXISTENTE VAI GERAR ERRO EM TEMPO DE EXECUÇÃO</t>
  </si>
  <si>
    <t>geraEntradaTrocaTurno:</t>
  </si>
  <si>
    <t>TIPO</t>
  </si>
  <si>
    <t>DESCRIÇÃO</t>
  </si>
  <si>
    <t>CAMPO</t>
  </si>
  <si>
    <t>[ ARRAY ]</t>
  </si>
  <si>
    <t>[ BOOL ]</t>
  </si>
  <si>
    <r>
      <t xml:space="preserve">SE </t>
    </r>
    <r>
      <rPr>
        <b/>
        <sz val="10"/>
        <color theme="1"/>
        <rFont val="Calibri"/>
        <family val="2"/>
      </rPr>
      <t>true</t>
    </r>
    <r>
      <rPr>
        <sz val="10"/>
        <color theme="1"/>
        <rFont val="Calibri"/>
        <family val="2"/>
        <charset val="1"/>
      </rPr>
      <t xml:space="preserve"> GERA VIAGEM DO TIPO TROCA DE TURNO COM HORARIO DE INICIO E FIM IGUAIS, ALTERE PARA </t>
    </r>
    <r>
      <rPr>
        <b/>
        <sz val="10"/>
        <color theme="1"/>
        <rFont val="Calibri"/>
        <family val="2"/>
      </rPr>
      <t>false</t>
    </r>
    <r>
      <rPr>
        <sz val="10"/>
        <color theme="1"/>
        <rFont val="Calibri"/>
        <family val="2"/>
        <charset val="1"/>
      </rPr>
      <t xml:space="preserve"> PARA DESABILITAR RECURSO</t>
    </r>
  </si>
  <si>
    <t>geraEntradaIntervalo:</t>
  </si>
  <si>
    <t>MESMA IDEIA DO ANTERIOR, GERA ENTRADA PARA INTERVALO</t>
  </si>
  <si>
    <t>geraEntradaRecolhidas:</t>
  </si>
  <si>
    <t>MESMA IDEIA DO ANTERIOR, GERA ENTRADA PARA RECOLHIDA</t>
  </si>
  <si>
    <t>aplicarFormatacaoNoCsv:</t>
  </si>
  <si>
    <r>
      <t xml:space="preserve">SE </t>
    </r>
    <r>
      <rPr>
        <b/>
        <sz val="10"/>
        <color theme="1"/>
        <rFont val="Calibri"/>
        <family val="2"/>
      </rPr>
      <t>true</t>
    </r>
    <r>
      <rPr>
        <sz val="10"/>
        <color theme="1"/>
        <rFont val="Calibri"/>
        <family val="2"/>
        <charset val="1"/>
      </rPr>
      <t xml:space="preserve"> APLICA O PADRÃO DE FORMATAÇÃO DEFINIDO NO layout TAMBÉM PARA ARQUIVOS CSV</t>
    </r>
  </si>
  <si>
    <r>
      <t xml:space="preserve">DE </t>
    </r>
    <r>
      <rPr>
        <b/>
        <sz val="10"/>
        <color theme="1"/>
        <rFont val="Consolas"/>
        <family val="3"/>
      </rPr>
      <t>IDA</t>
    </r>
    <r>
      <rPr>
        <sz val="10"/>
        <color theme="1"/>
        <rFont val="Consolas"/>
        <family val="3"/>
      </rPr>
      <t xml:space="preserve"> E A SEGUNDA VIAGENS DE </t>
    </r>
    <r>
      <rPr>
        <b/>
        <sz val="10"/>
        <color theme="1"/>
        <rFont val="Consolas"/>
        <family val="3"/>
      </rPr>
      <t>VOLTA</t>
    </r>
  </si>
  <si>
    <t xml:space="preserve">ESSE COMPORTAMENTO EH LIGEIRAMENTE DIFERENTE NO CASO DE LINHA CIRCULAR, ONDE O MOTOR ESPERA QUE </t>
  </si>
  <si>
    <r>
      <t xml:space="preserve">TODAS AS VIAGENS ESTEJAM NA COLUNA DE </t>
    </r>
    <r>
      <rPr>
        <b/>
        <sz val="10"/>
        <color theme="1"/>
        <rFont val="Consolas"/>
        <family val="3"/>
      </rPr>
      <t>IDA</t>
    </r>
    <r>
      <rPr>
        <sz val="10"/>
        <color theme="1"/>
        <rFont val="Consolas"/>
        <family val="3"/>
      </rPr>
      <t>, ENTRADAS INSERIDAS NA COLUNA DE VOLTA PARA UMA LINHA CIRCULAR</t>
    </r>
  </si>
  <si>
    <r>
      <t xml:space="preserve">SÃO INTERPRETADAS COMO </t>
    </r>
    <r>
      <rPr>
        <b/>
        <sz val="10"/>
        <color theme="1"/>
        <rFont val="Consolas"/>
        <family val="3"/>
      </rPr>
      <t>MEIA VIAGEM</t>
    </r>
    <r>
      <rPr>
        <sz val="10"/>
        <color theme="1"/>
        <rFont val="Consolas"/>
        <family val="3"/>
      </rPr>
      <t>, SENDO QUE SE FOR PRIMEIRA VIAGEM DA TABELA TRATA COMO MEIA VIAGEM</t>
    </r>
  </si>
  <si>
    <t>PRODUTIVA, CASO NÃO, CONSIDERA COMO INTERRUPÇÃO PREMATURA DE VIAGEM, EXEMPLO:</t>
  </si>
  <si>
    <t>NAS RESPECTIVAS LINHAS, RESPEITANDO O SENTIDO, HORÁRIO INSERIDO NA PRIMEIRA COLUNA PRECISA CORRESPONDER A UMA</t>
  </si>
  <si>
    <t>COMO FILTRO À SER APLICADO, OU SEJA NO EXEMPLO 01 A VIAGEM</t>
  </si>
  <si>
    <t>primeiroCodViagem:</t>
  </si>
  <si>
    <t>[ INT ]</t>
  </si>
  <si>
    <t>SEQUENCIA DE INICIO PARA VIAGENS, POR PADRÃO USADO 10 PARA PERMITIR INSERIR VIAGENS NO INICIO DA TABELA FUTURAMENTE</t>
  </si>
  <si>
    <t>circularGeraMeiaViagem</t>
  </si>
  <si>
    <r>
      <t xml:space="preserve">SE </t>
    </r>
    <r>
      <rPr>
        <b/>
        <sz val="10"/>
        <color theme="1"/>
        <rFont val="Calibri"/>
        <family val="2"/>
      </rPr>
      <t>true</t>
    </r>
    <r>
      <rPr>
        <sz val="10"/>
        <color theme="1"/>
        <rFont val="Calibri"/>
        <family val="2"/>
        <charset val="1"/>
      </rPr>
      <t xml:space="preserve"> GERA ENTRADA DE VIAGEM PARA MEIAS VIAGENS EM PROGRAMAÇÕES COM </t>
    </r>
  </si>
  <si>
    <t>circularMeiaViagemConsisteSentido:</t>
  </si>
  <si>
    <r>
      <t xml:space="preserve">SE </t>
    </r>
    <r>
      <rPr>
        <b/>
        <sz val="10"/>
        <color theme="1"/>
        <rFont val="Calibri"/>
        <family val="2"/>
      </rPr>
      <t>true</t>
    </r>
    <r>
      <rPr>
        <sz val="10"/>
        <color theme="1"/>
        <rFont val="Calibri"/>
        <family val="2"/>
        <charset val="1"/>
      </rPr>
      <t xml:space="preserve"> USA I (IDA) OU V (VOLTA) PARA MEIAS VIAGENS, SE </t>
    </r>
    <r>
      <rPr>
        <b/>
        <sz val="10"/>
        <color theme="1"/>
        <rFont val="Calibri"/>
        <family val="2"/>
      </rPr>
      <t>false</t>
    </r>
    <r>
      <rPr>
        <sz val="10"/>
        <color theme="1"/>
        <rFont val="Calibri"/>
        <family val="2"/>
        <charset val="1"/>
      </rPr>
      <t xml:space="preserve"> USA C (CIRCULAR) PARA TODAS AS VIAGENS</t>
    </r>
  </si>
  <si>
    <t>mapaTurnos:</t>
  </si>
  <si>
    <t>[ DICT ]</t>
  </si>
  <si>
    <t>DEFINE OS HORÁRIOS DE CORTE PARA PERIODO, { "12:00" : 1 } ORIENTA ENGINE QUE TODA TABELA INICIADA ATÉ 12h00 DEVE SER</t>
  </si>
  <si>
    <t>TRATADA COMO PERIODO 1, MESMA IDEIA PARA DEMAIS PERIODOS</t>
  </si>
  <si>
    <t>atividades:</t>
  </si>
  <si>
    <t>DEFINE CÓDIGOS DE ATIVIDADES A SEREM UTILIZADOS PARA VIAGENS PRODUTIVAS, INTERVALO, TROCA TURNO E REOLHE</t>
  </si>
  <si>
    <t>[!] ATENÇÃO, OS NOMES [produtiva,intervalo,troca_turno,recolhe] NÃO DEVEM SER ALTERADOS</t>
  </si>
  <si>
    <r>
      <t xml:space="preserve">O VALOR INSERIDO EM </t>
    </r>
    <r>
      <rPr>
        <b/>
        <sz val="10"/>
        <color theme="1"/>
        <rFont val="Calibri"/>
        <family val="2"/>
      </rPr>
      <t>COD</t>
    </r>
    <r>
      <rPr>
        <sz val="10"/>
        <color theme="1"/>
        <rFont val="Calibri"/>
        <family val="2"/>
        <charset val="1"/>
      </rPr>
      <t xml:space="preserve"> DEVE CORRESPONDER A ATIVIDADE USADA NO GLOBUS</t>
    </r>
  </si>
  <si>
    <t>O VALOR LOCAL PODE SER PREENCHIDO PARA SOBRESCREVER O SENTIDO, OU SEJA:</t>
  </si>
  <si>
    <t>intervalo:   { cod: '07', local: '07' },</t>
  </si>
  <si>
    <t>IRA USAR O LOCAL 07 SEMPRE QUE FOR CRIADO UMA ENTRADA PARA INTERVALO, ALTERE PARA null PARA USAR O SENTIDO CORRESPONDENTE</t>
  </si>
  <si>
    <t>I (IDA) OU V (VOLTA)</t>
  </si>
  <si>
    <t>sequenciaNormal:</t>
  </si>
  <si>
    <r>
      <rPr>
        <b/>
        <sz val="10"/>
        <color theme="1"/>
        <rFont val="Consolas"/>
        <family val="3"/>
      </rPr>
      <t>NOME DE TABELAS</t>
    </r>
    <r>
      <rPr>
        <sz val="10"/>
        <color theme="1"/>
        <rFont val="Consolas"/>
        <family val="3"/>
      </rPr>
      <t>: ENGINE USA O PADRAO 00A (DOIS DIGITOS + LETRA) PARA IDENTIFICAÇÃO DE TABELAS ONDE</t>
    </r>
  </si>
  <si>
    <t>OS DIGITOS INICIAIS REPRESENTAM O CARRO E A LETRA REPRESENTA UMA SEQUENCIA. LÓGICA USA CÓDIGOS DE LETRAS</t>
  </si>
  <si>
    <t>DIFERENTES PARA O COMPORTAMENTO DA TABELA [sequenciaNormal] DEFINE CPODIGOS BASE E [sequenciaPosIntervalo]</t>
  </si>
  <si>
    <r>
      <t xml:space="preserve">DEFINE TABELAS QUE RETORNAM DE INTERVALO, MAIS DETALHES NA SEÇÃO </t>
    </r>
    <r>
      <rPr>
        <b/>
        <sz val="10"/>
        <color theme="1"/>
        <rFont val="Consolas"/>
        <family val="3"/>
      </rPr>
      <t>CONFIGURAÇÃO DO ENGINE</t>
    </r>
  </si>
  <si>
    <t>USADO PARA DEFINIÇÃO DE NOMENCLATURA DE TABELAS COM DE FLUXO "NORMAL" (INICIO E TROCA DE TURNO)</t>
  </si>
  <si>
    <t>sequenciaPosIntervalo:</t>
  </si>
  <si>
    <t>SEQUENCIA COBRE TABELAS CRIADAS APÓS UM INTERVALO, ISSO PERMITE APENAS PELO NOME DA TABELA IDENTIFICAR:</t>
  </si>
  <si>
    <t>05A - PRIMEIRA TABELA DO CARRO 5</t>
  </si>
  <si>
    <t>01B - TABELA DE CONTINUAÇÃO DO CARRO 1, É UMA TROCA DE TURNO</t>
  </si>
  <si>
    <t>02C - TABELA DE CONTINUAÇÃO  DO CARRO 2, CONDUTOR PEGA CARRO DE INTERVALO</t>
  </si>
  <si>
    <t>cells:</t>
  </si>
  <si>
    <t>REFERÊNCIAS DAS CÉLULAS DO EXCEL PARA LEITURA DO ENGINE:</t>
  </si>
  <si>
    <t>OS NOMES DAS CHAVES NÃO DEVEM SER ALTERADOS, MUDE APENAS AS REFERÊNCIAS, EX: "F22" CASO ALTERADO PLANILHA</t>
  </si>
  <si>
    <t>viagensConf:</t>
  </si>
  <si>
    <t>INTERVALOS USADOS PARA ANÁLISE DAS VIAGENS:</t>
  </si>
  <si>
    <r>
      <rPr>
        <b/>
        <sz val="10"/>
        <color theme="1"/>
        <rFont val="Calibri"/>
        <family val="2"/>
      </rPr>
      <t>intervaloGeral</t>
    </r>
    <r>
      <rPr>
        <sz val="10"/>
        <color theme="1"/>
        <rFont val="Calibri"/>
        <family val="2"/>
        <charset val="1"/>
      </rPr>
      <t>: INICIO E FIM DO RANGE DO GRID DE VIAGENS</t>
    </r>
  </si>
  <si>
    <r>
      <rPr>
        <b/>
        <sz val="10"/>
        <color theme="1"/>
        <rFont val="Calibri"/>
        <family val="2"/>
      </rPr>
      <t>intervaloExcecoesViagens</t>
    </r>
    <r>
      <rPr>
        <sz val="10"/>
        <color theme="1"/>
        <rFont val="Calibri"/>
        <family val="2"/>
        <charset val="1"/>
      </rPr>
      <t>: INICIO E FIM DO RANGE DE EXCEÇÕES DE VIAGEM</t>
    </r>
  </si>
  <si>
    <r>
      <rPr>
        <b/>
        <sz val="10"/>
        <color theme="1"/>
        <rFont val="Calibri"/>
        <family val="2"/>
      </rPr>
      <t>intervaloExcecoesTabelas</t>
    </r>
    <r>
      <rPr>
        <sz val="10"/>
        <color theme="1"/>
        <rFont val="Calibri"/>
        <family val="2"/>
        <charset val="1"/>
      </rPr>
      <t>: INICIO E FIM DO RANGE DE EXCEÇÕES DE TABELAS</t>
    </r>
  </si>
  <si>
    <r>
      <t>[</t>
    </r>
    <r>
      <rPr>
        <b/>
        <sz val="10"/>
        <color theme="1"/>
        <rFont val="Calibri"/>
        <family val="2"/>
      </rPr>
      <t>linhaCarroID, linhaSentido, linhaLocalidade</t>
    </r>
    <r>
      <rPr>
        <sz val="10"/>
        <color theme="1"/>
        <rFont val="Calibri"/>
        <family val="2"/>
      </rPr>
      <t>] REFERÊNCIAS INICIAIS PARA A SEQUINCIA DO CARRO, SENTIDO E LOCAL RESPECTIVAMENTE</t>
    </r>
  </si>
  <si>
    <t>linhasTrocaTurno:</t>
  </si>
  <si>
    <t>LINHAS COM ENTRADAS PARA TROCA DE TURNO, ENGINE BUSCA EQUIVALENTE DE CADA CARRO PARA ANÁLISE</t>
  </si>
  <si>
    <t>layout:</t>
  </si>
  <si>
    <t>DICIONARIO COM CONFIGURAÇÕES DE SAÍDA (EXPORTAÇÃO) CADA ENTRADA REPRESENTA UM CAMPO A SER EXPORTADO</t>
  </si>
  <si>
    <r>
      <rPr>
        <b/>
        <sz val="10"/>
        <color theme="1"/>
        <rFont val="Calibri"/>
        <family val="2"/>
      </rPr>
      <t>field</t>
    </r>
    <r>
      <rPr>
        <sz val="10"/>
        <color theme="1"/>
        <rFont val="Calibri"/>
        <family val="2"/>
      </rPr>
      <t xml:space="preserve">: [OBRIGATÓRIO] NOME DO CAMPO, DEVE CORRESPONDER A UMA ENTRADA EM </t>
    </r>
    <r>
      <rPr>
        <b/>
        <sz val="10"/>
        <color theme="1"/>
        <rFont val="Calibri"/>
        <family val="2"/>
      </rPr>
      <t>camposDisponiveis</t>
    </r>
  </si>
  <si>
    <r>
      <rPr>
        <b/>
        <sz val="10"/>
        <color theme="1"/>
        <rFont val="Calibri"/>
        <family val="2"/>
      </rPr>
      <t>size</t>
    </r>
    <r>
      <rPr>
        <sz val="10"/>
        <color theme="1"/>
        <rFont val="Calibri"/>
        <family val="2"/>
      </rPr>
      <t>: [OBRIGATÓRIO] TAMANHO DO CAMPO (QUANTIDADE DE CARACTERES)</t>
    </r>
  </si>
  <si>
    <r>
      <rPr>
        <b/>
        <sz val="10"/>
        <color theme="1"/>
        <rFont val="Calibri"/>
        <family val="2"/>
      </rPr>
      <t>pad</t>
    </r>
    <r>
      <rPr>
        <sz val="10"/>
        <color theme="1"/>
        <rFont val="Calibri"/>
        <family val="2"/>
      </rPr>
      <t>: [OBRIGATÓRIO] CARACTERE A SER USADO PARA PREENCHER CAMPO ATÉ SIZE DEFINIDO</t>
    </r>
  </si>
  <si>
    <r>
      <rPr>
        <b/>
        <sz val="10"/>
        <color theme="1"/>
        <rFont val="Calibri"/>
        <family val="2"/>
      </rPr>
      <t>align</t>
    </r>
    <r>
      <rPr>
        <sz val="10"/>
        <color theme="1"/>
        <rFont val="Calibri"/>
        <family val="2"/>
      </rPr>
      <t>: [OBRIGATÓRIO] DEFINE SE PAD SERA APLICADO ANTES OU DEPOIS DO VALOR DO CAMPO, L = COMPLETA A DIREITA, R = COMPLETA A ESQUERDA</t>
    </r>
  </si>
  <si>
    <r>
      <rPr>
        <b/>
        <sz val="10"/>
        <color theme="1"/>
        <rFont val="Calibri"/>
        <family val="2"/>
      </rPr>
      <t>type</t>
    </r>
    <r>
      <rPr>
        <sz val="10"/>
        <color theme="1"/>
        <rFont val="Calibri"/>
        <family val="2"/>
      </rPr>
      <t>: [OPCIONAL] DEFINE MASCARA DO CAMPO, type: "hour" = "HH:MM"</t>
    </r>
  </si>
  <si>
    <r>
      <rPr>
        <b/>
        <sz val="10"/>
        <color theme="1"/>
        <rFont val="Calibri"/>
        <family val="2"/>
      </rPr>
      <t>resolve</t>
    </r>
    <r>
      <rPr>
        <sz val="10"/>
        <color theme="1"/>
        <rFont val="Calibri"/>
        <family val="2"/>
      </rPr>
      <t>: [OBRIGATÓRIO] FUNÇÃO QUE RESPONDE POR ESTE CAMPO, EXEMPLOS:</t>
    </r>
  </si>
  <si>
    <t>resolve: (ctx) =&gt; ctx.foo</t>
  </si>
  <si>
    <t>resolve: (ctx) =&gt; "foo"</t>
  </si>
  <si>
    <t>VALOR FIXO, TODOS OS CAMPOS VÃO USAR foo COMO VALOR</t>
  </si>
  <si>
    <t>RETORNO DE CONTEXTO, USE UM RETORNO DO CONTEXTO COMO VALOR (OU ADICIONE UM NO ENGINE)</t>
  </si>
  <si>
    <t>FUNÇÃO PERSONALIZADA</t>
  </si>
  <si>
    <t>resolve: minhaFuncao(ctx)</t>
  </si>
  <si>
    <t>inteiro</t>
  </si>
  <si>
    <t>TEMPO DE PREPARO EM MINUTOS, EX: 10</t>
  </si>
  <si>
    <t>LAYOUT</t>
  </si>
  <si>
    <t>-&gt;</t>
  </si>
  <si>
    <t>Tipo: [P produtiva | O ocioso]</t>
  </si>
  <si>
    <t>Detalhamento Layouts (usado aqui para colunas)</t>
  </si>
  <si>
    <t>Cod</t>
  </si>
  <si>
    <t>Colunas</t>
  </si>
  <si>
    <t>Sequencia (;)</t>
  </si>
  <si>
    <t>IV</t>
  </si>
  <si>
    <t>IVV</t>
  </si>
  <si>
    <t>I_V_</t>
  </si>
  <si>
    <t>IDA / VOLTA</t>
  </si>
  <si>
    <t>VOLTA c/ FIM</t>
  </si>
  <si>
    <t>C/ 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</si>
</sst>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0"/>
      <color theme="1"/>
      <name val="Calibri"/>
      <family val="2"/>
    </font>
    <font>
      <b/>
      <sz val="16"/>
      <color theme="1"/>
      <name val="Consolas"/>
      <family val="3"/>
    </font>
    <font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0"/>
      <color theme="1"/>
      <name val="Calibri"/>
      <family val="2"/>
    </font>
    <font>
      <b/>
      <sz val="10"/>
      <color theme="9" tint="-0.499984740745262"/>
      <name val="Consolas"/>
      <family val="3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7" tint="-0.249977111117893"/>
      <name val="Calibri"/>
      <family val="2"/>
    </font>
    <font>
      <b/>
      <sz val="10"/>
      <color theme="7" tint="-0.49998474074526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rgb="FFCCC1DA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87182226020086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rgb="FFCCC1D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rgb="FFEEEEEE"/>
      </patternFill>
    </fill>
    <fill>
      <patternFill patternType="solid">
        <fgColor theme="2" tint="-9.9978637043366805E-2"/>
        <bgColor rgb="FFEEEEEE"/>
      </patternFill>
    </fill>
    <fill>
      <patternFill patternType="solid">
        <fgColor theme="2" tint="-9.9978637043366805E-2"/>
        <bgColor rgb="FFDDDDDD"/>
      </patternFill>
    </fill>
    <fill>
      <patternFill patternType="solid">
        <fgColor theme="0" tint="-4.9989318521683403E-2"/>
        <bgColor rgb="FFD9D9D9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uble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/>
    <xf numFmtId="0" fontId="0" fillId="3" borderId="2" xfId="0" applyFill="1" applyBorder="1" applyAlignment="1">
      <alignment horizontal="center"/>
    </xf>
    <xf numFmtId="0" fontId="3" fillId="0" borderId="0" xfId="0" applyFont="1" applyAlignment="1">
      <alignment horizontal="right"/>
    </xf>
    <xf numFmtId="2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6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 applyBorder="1"/>
    <xf numFmtId="0" fontId="0" fillId="5" borderId="0" xfId="0" applyFont="1" applyFill="1" applyBorder="1" applyAlignment="1">
      <alignment horizontal="center"/>
    </xf>
    <xf numFmtId="20" fontId="0" fillId="5" borderId="0" xfId="0" applyNumberFormat="1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1" fillId="3" borderId="0" xfId="0" applyFont="1" applyFill="1" applyBorder="1" applyAlignment="1">
      <alignment horizontal="right"/>
    </xf>
    <xf numFmtId="0" fontId="0" fillId="2" borderId="4" xfId="0" applyFill="1" applyBorder="1"/>
    <xf numFmtId="0" fontId="2" fillId="5" borderId="4" xfId="0" applyFont="1" applyFill="1" applyBorder="1" applyAlignment="1">
      <alignment horizontal="left"/>
    </xf>
    <xf numFmtId="20" fontId="2" fillId="5" borderId="4" xfId="0" applyNumberFormat="1" applyFont="1" applyFill="1" applyBorder="1" applyAlignment="1">
      <alignment horizontal="left"/>
    </xf>
    <xf numFmtId="0" fontId="0" fillId="2" borderId="0" xfId="0" applyFill="1" applyBorder="1"/>
    <xf numFmtId="0" fontId="2" fillId="5" borderId="0" xfId="0" applyFont="1" applyFill="1" applyBorder="1" applyAlignment="1">
      <alignment horizontal="left"/>
    </xf>
    <xf numFmtId="20" fontId="2" fillId="5" borderId="0" xfId="0" applyNumberFormat="1" applyFont="1" applyFill="1" applyBorder="1" applyAlignment="1">
      <alignment horizontal="left"/>
    </xf>
    <xf numFmtId="0" fontId="0" fillId="0" borderId="0" xfId="0" applyFont="1"/>
    <xf numFmtId="0" fontId="4" fillId="4" borderId="0" xfId="0" applyFont="1" applyFill="1" applyAlignment="1">
      <alignment horizontal="right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right"/>
    </xf>
    <xf numFmtId="0" fontId="8" fillId="7" borderId="0" xfId="0" applyFont="1" applyFill="1"/>
    <xf numFmtId="0" fontId="7" fillId="7" borderId="0" xfId="0" applyFont="1" applyFill="1"/>
    <xf numFmtId="0" fontId="5" fillId="8" borderId="0" xfId="0" applyFont="1" applyFill="1"/>
    <xf numFmtId="0" fontId="6" fillId="8" borderId="0" xfId="0" applyFont="1" applyFill="1"/>
    <xf numFmtId="0" fontId="7" fillId="0" borderId="0" xfId="0" applyFont="1" applyAlignment="1">
      <alignment horizontal="right"/>
    </xf>
    <xf numFmtId="0" fontId="8" fillId="0" borderId="0" xfId="0" applyFont="1"/>
    <xf numFmtId="0" fontId="9" fillId="4" borderId="0" xfId="0" applyFont="1" applyFill="1" applyAlignment="1">
      <alignment horizontal="center"/>
    </xf>
    <xf numFmtId="0" fontId="3" fillId="9" borderId="0" xfId="0" applyFont="1" applyFill="1" applyAlignment="1">
      <alignment horizontal="right"/>
    </xf>
    <xf numFmtId="0" fontId="3" fillId="3" borderId="0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/>
    <xf numFmtId="20" fontId="2" fillId="3" borderId="3" xfId="0" applyNumberFormat="1" applyFont="1" applyFill="1" applyBorder="1" applyAlignment="1">
      <alignment horizontal="center"/>
    </xf>
    <xf numFmtId="20" fontId="2" fillId="3" borderId="0" xfId="0" applyNumberFormat="1" applyFont="1" applyFill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20" fontId="2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Border="1"/>
    <xf numFmtId="0" fontId="2" fillId="4" borderId="5" xfId="0" applyFont="1" applyFill="1" applyBorder="1"/>
    <xf numFmtId="0" fontId="11" fillId="3" borderId="0" xfId="0" applyFont="1" applyFill="1" applyBorder="1"/>
    <xf numFmtId="0" fontId="0" fillId="10" borderId="0" xfId="0" applyFill="1"/>
    <xf numFmtId="0" fontId="9" fillId="10" borderId="0" xfId="0" applyFont="1" applyFill="1" applyAlignment="1">
      <alignment horizontal="right"/>
    </xf>
    <xf numFmtId="0" fontId="2" fillId="3" borderId="0" xfId="0" applyFont="1" applyFill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12" borderId="0" xfId="0" applyFont="1" applyFill="1"/>
    <xf numFmtId="0" fontId="14" fillId="12" borderId="0" xfId="0" applyFont="1" applyFill="1"/>
    <xf numFmtId="0" fontId="12" fillId="12" borderId="0" xfId="0" applyFont="1" applyFill="1"/>
    <xf numFmtId="0" fontId="0" fillId="12" borderId="0" xfId="0" applyFill="1"/>
    <xf numFmtId="0" fontId="15" fillId="0" borderId="0" xfId="0" applyFont="1"/>
    <xf numFmtId="0" fontId="15" fillId="0" borderId="0" xfId="0" applyFont="1" applyAlignment="1"/>
    <xf numFmtId="0" fontId="16" fillId="13" borderId="0" xfId="0" applyFont="1" applyFill="1"/>
    <xf numFmtId="0" fontId="17" fillId="13" borderId="0" xfId="0" applyFont="1" applyFill="1"/>
    <xf numFmtId="0" fontId="15" fillId="11" borderId="6" xfId="0" applyFont="1" applyFill="1" applyBorder="1" applyAlignment="1"/>
    <xf numFmtId="0" fontId="0" fillId="11" borderId="6" xfId="0" applyFill="1" applyBorder="1"/>
    <xf numFmtId="0" fontId="15" fillId="11" borderId="7" xfId="0" applyFont="1" applyFill="1" applyBorder="1" applyAlignment="1"/>
    <xf numFmtId="0" fontId="0" fillId="11" borderId="7" xfId="0" applyFill="1" applyBorder="1"/>
    <xf numFmtId="0" fontId="15" fillId="11" borderId="8" xfId="0" applyFont="1" applyFill="1" applyBorder="1" applyAlignment="1"/>
    <xf numFmtId="0" fontId="0" fillId="11" borderId="8" xfId="0" applyFill="1" applyBorder="1"/>
    <xf numFmtId="0" fontId="12" fillId="0" borderId="0" xfId="0" quotePrefix="1" applyFont="1" applyAlignment="1">
      <alignment horizontal="right"/>
    </xf>
    <xf numFmtId="0" fontId="0" fillId="14" borderId="0" xfId="0" applyFont="1" applyFill="1" applyBorder="1" applyAlignment="1">
      <alignment horizontal="center"/>
    </xf>
    <xf numFmtId="0" fontId="0" fillId="14" borderId="0" xfId="0" applyFill="1"/>
    <xf numFmtId="0" fontId="18" fillId="14" borderId="0" xfId="0" quotePrefix="1" applyFont="1" applyFill="1"/>
    <xf numFmtId="0" fontId="2" fillId="15" borderId="0" xfId="0" applyFont="1" applyFill="1"/>
    <xf numFmtId="0" fontId="2" fillId="15" borderId="9" xfId="0" applyFont="1" applyFill="1" applyBorder="1"/>
    <xf numFmtId="0" fontId="9" fillId="16" borderId="0" xfId="0" applyFont="1" applyFill="1"/>
    <xf numFmtId="0" fontId="2" fillId="16" borderId="0" xfId="0" applyFont="1" applyFill="1"/>
    <xf numFmtId="0" fontId="9" fillId="16" borderId="9" xfId="0" applyFont="1" applyFill="1" applyBorder="1"/>
    <xf numFmtId="0" fontId="2" fillId="17" borderId="0" xfId="0" applyFont="1" applyFill="1" applyBorder="1" applyAlignment="1">
      <alignment horizontal="left"/>
    </xf>
    <xf numFmtId="0" fontId="2" fillId="17" borderId="4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8" xfId="0" applyFont="1" applyFill="1" applyBorder="1"/>
    <xf numFmtId="0" fontId="2" fillId="0" borderId="8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0" xfId="0" applyFont="1" applyFill="1" applyBorder="1"/>
    <xf numFmtId="0" fontId="0" fillId="1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0" fontId="0" fillId="18" borderId="3" xfId="0" applyNumberFormat="1" applyFill="1" applyBorder="1" applyAlignment="1">
      <alignment horizontal="center"/>
    </xf>
    <xf numFmtId="20" fontId="0" fillId="18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20" fontId="0" fillId="18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2F2F2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EECE1"/>
      <rgbColor rgb="FFDDD9C3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4"/>
  <sheetViews>
    <sheetView showGridLines="0" topLeftCell="A46" zoomScaleNormal="100" workbookViewId="0">
      <selection activeCell="A62" sqref="A62"/>
    </sheetView>
  </sheetViews>
  <sheetFormatPr defaultColWidth="8.5546875" defaultRowHeight="15.05" x14ac:dyDescent="0.3"/>
  <cols>
    <col min="1" max="1" width="1.44140625" customWidth="1"/>
    <col min="2" max="3" width="2.88671875" customWidth="1"/>
    <col min="7" max="8" width="8.5546875" customWidth="1"/>
    <col min="10" max="10" width="8.5546875" customWidth="1"/>
    <col min="12" max="12" width="8.5546875" customWidth="1"/>
  </cols>
  <sheetData>
    <row r="1" spans="1:26" ht="20.3" x14ac:dyDescent="0.35">
      <c r="A1" s="32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7"/>
      <c r="V2" s="27"/>
      <c r="W2" s="27"/>
      <c r="X2" s="27"/>
      <c r="Y2" s="27"/>
      <c r="Z2" s="27"/>
    </row>
    <row r="3" spans="1:26" x14ac:dyDescent="0.3">
      <c r="A3" s="28"/>
      <c r="B3" s="28" t="s">
        <v>65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7"/>
      <c r="V3" s="27"/>
      <c r="W3" s="27"/>
      <c r="X3" s="27"/>
      <c r="Y3" s="27"/>
      <c r="Z3" s="27"/>
    </row>
    <row r="4" spans="1:26" x14ac:dyDescent="0.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7"/>
      <c r="V4" s="27"/>
      <c r="W4" s="27"/>
      <c r="X4" s="27"/>
      <c r="Y4" s="27"/>
      <c r="Z4" s="27"/>
    </row>
    <row r="5" spans="1:26" x14ac:dyDescent="0.3">
      <c r="A5" s="28"/>
      <c r="B5" s="30" t="s">
        <v>53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28"/>
      <c r="R5" s="28"/>
      <c r="S5" s="28"/>
      <c r="T5" s="28"/>
      <c r="U5" s="27"/>
      <c r="V5" s="27"/>
      <c r="W5" s="27"/>
      <c r="X5" s="27"/>
      <c r="Y5" s="27"/>
      <c r="Z5" s="27"/>
    </row>
    <row r="6" spans="1:26" x14ac:dyDescent="0.3">
      <c r="A6" s="28"/>
      <c r="B6" s="29" t="s">
        <v>52</v>
      </c>
      <c r="C6" s="28" t="s">
        <v>64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7"/>
      <c r="V6" s="27"/>
      <c r="W6" s="27"/>
      <c r="X6" s="27"/>
      <c r="Y6" s="27"/>
      <c r="Z6" s="27"/>
    </row>
    <row r="7" spans="1:26" x14ac:dyDescent="0.3">
      <c r="A7" s="28"/>
      <c r="B7" s="28"/>
      <c r="C7" s="28" t="s">
        <v>147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7"/>
      <c r="V7" s="27"/>
      <c r="W7" s="27"/>
      <c r="X7" s="27"/>
      <c r="Y7" s="27"/>
      <c r="Z7" s="27"/>
    </row>
    <row r="8" spans="1:26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7"/>
      <c r="V8" s="27"/>
      <c r="W8" s="27"/>
      <c r="X8" s="27"/>
      <c r="Y8" s="27"/>
      <c r="Z8" s="27"/>
    </row>
    <row r="9" spans="1:26" x14ac:dyDescent="0.3">
      <c r="A9" s="28"/>
      <c r="B9" s="28"/>
      <c r="C9" s="28" t="s">
        <v>148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  <c r="Y9" s="27"/>
      <c r="Z9" s="27"/>
    </row>
    <row r="10" spans="1:26" x14ac:dyDescent="0.3">
      <c r="A10" s="28"/>
      <c r="B10" s="29"/>
      <c r="C10" s="28" t="s">
        <v>149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7"/>
      <c r="Y10" s="27"/>
      <c r="Z10" s="27"/>
    </row>
    <row r="11" spans="1:26" x14ac:dyDescent="0.3">
      <c r="A11" s="28"/>
      <c r="B11" s="29"/>
      <c r="C11" s="28" t="s">
        <v>150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  <c r="Y11" s="27"/>
      <c r="Z11" s="27"/>
    </row>
    <row r="12" spans="1:26" x14ac:dyDescent="0.3">
      <c r="A12" s="28"/>
      <c r="B12" s="29"/>
      <c r="C12" s="28" t="s">
        <v>151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  <c r="Y12" s="27"/>
      <c r="Z12" s="27"/>
    </row>
    <row r="13" spans="1:26" x14ac:dyDescent="0.3">
      <c r="A13" s="28"/>
      <c r="B13" s="29"/>
      <c r="C13" s="28"/>
      <c r="D13" s="38" t="s">
        <v>1</v>
      </c>
      <c r="E13" s="39">
        <v>1</v>
      </c>
      <c r="F13" s="39">
        <v>1</v>
      </c>
      <c r="G13" s="28"/>
      <c r="H13" s="35" t="s">
        <v>62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  <c r="Y13" s="27"/>
      <c r="Z13" s="27"/>
    </row>
    <row r="14" spans="1:26" x14ac:dyDescent="0.3">
      <c r="A14" s="28"/>
      <c r="B14" s="29"/>
      <c r="C14" s="28"/>
      <c r="D14" s="38" t="s">
        <v>3</v>
      </c>
      <c r="E14" s="39" t="s">
        <v>4</v>
      </c>
      <c r="F14" s="39" t="s">
        <v>5</v>
      </c>
      <c r="G14" s="28"/>
      <c r="H14" s="4" t="s">
        <v>46</v>
      </c>
      <c r="I14" s="4"/>
      <c r="J14" s="23" t="s">
        <v>63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  <c r="Y14" s="27"/>
      <c r="Z14" s="27"/>
    </row>
    <row r="15" spans="1:26" ht="15.75" thickBot="1" x14ac:dyDescent="0.35">
      <c r="A15" s="28"/>
      <c r="B15" s="29"/>
      <c r="C15" s="28"/>
      <c r="D15" s="38" t="s">
        <v>7</v>
      </c>
      <c r="E15" s="40"/>
      <c r="F15" s="40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  <c r="Y15" s="27"/>
      <c r="Z15" s="27"/>
    </row>
    <row r="16" spans="1:26" x14ac:dyDescent="0.3">
      <c r="A16" s="28"/>
      <c r="B16" s="29"/>
      <c r="C16" s="28"/>
      <c r="D16" s="41"/>
      <c r="E16" s="42"/>
      <c r="F16" s="43">
        <v>0.22291666666666668</v>
      </c>
      <c r="G16" s="29" t="s">
        <v>52</v>
      </c>
      <c r="H16" s="28" t="s">
        <v>61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  <c r="Y16" s="27"/>
      <c r="Z16" s="27"/>
    </row>
    <row r="17" spans="1:26" x14ac:dyDescent="0.3">
      <c r="A17" s="28"/>
      <c r="B17" s="29"/>
      <c r="C17" s="28"/>
      <c r="D17" s="41"/>
      <c r="E17" s="44">
        <v>0.2638888888888889</v>
      </c>
      <c r="F17" s="43">
        <v>0.28888888888888886</v>
      </c>
      <c r="G17" s="29" t="s">
        <v>52</v>
      </c>
      <c r="H17" s="28" t="s">
        <v>60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  <c r="Y17" s="27"/>
      <c r="Z17" s="27"/>
    </row>
    <row r="18" spans="1:26" x14ac:dyDescent="0.3">
      <c r="A18" s="28"/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  <c r="Y18" s="27"/>
      <c r="Z18" s="27"/>
    </row>
    <row r="19" spans="1:26" x14ac:dyDescent="0.3">
      <c r="A19" s="28"/>
      <c r="B19" s="29" t="s">
        <v>52</v>
      </c>
      <c r="C19" s="28" t="s">
        <v>59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  <c r="Y19" s="27"/>
      <c r="Z19" s="27"/>
    </row>
    <row r="20" spans="1:26" x14ac:dyDescent="0.3">
      <c r="A20" s="28"/>
      <c r="B20" s="29"/>
      <c r="C20" s="28" t="s">
        <v>55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  <c r="Y20" s="27"/>
      <c r="Z20" s="27"/>
    </row>
    <row r="21" spans="1:26" x14ac:dyDescent="0.3">
      <c r="A21" s="28"/>
      <c r="B21" s="29"/>
      <c r="C21" s="34" t="s">
        <v>56</v>
      </c>
      <c r="D21" s="28" t="s">
        <v>57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  <c r="Y21" s="27"/>
      <c r="Z21" s="27"/>
    </row>
    <row r="22" spans="1:26" x14ac:dyDescent="0.3">
      <c r="A22" s="28"/>
      <c r="B22" s="29"/>
      <c r="C22" s="34" t="s">
        <v>56</v>
      </c>
      <c r="D22" s="28" t="s">
        <v>58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  <c r="Y22" s="27"/>
      <c r="Z22" s="27"/>
    </row>
    <row r="23" spans="1:26" x14ac:dyDescent="0.3">
      <c r="A23" s="28"/>
      <c r="B23" s="29"/>
      <c r="C23" s="34"/>
      <c r="D23" s="38" t="s">
        <v>1</v>
      </c>
      <c r="E23" s="39">
        <v>1</v>
      </c>
      <c r="F23" s="39">
        <v>1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  <c r="Y23" s="27"/>
      <c r="Z23" s="27"/>
    </row>
    <row r="24" spans="1:26" x14ac:dyDescent="0.3">
      <c r="A24" s="28"/>
      <c r="B24" s="29"/>
      <c r="C24" s="34"/>
      <c r="D24" s="38" t="s">
        <v>3</v>
      </c>
      <c r="E24" s="39" t="s">
        <v>4</v>
      </c>
      <c r="F24" s="39" t="s">
        <v>5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  <c r="Y24" s="27"/>
      <c r="Z24" s="27"/>
    </row>
    <row r="25" spans="1:26" ht="15.75" thickBot="1" x14ac:dyDescent="0.35">
      <c r="A25" s="28"/>
      <c r="B25" s="29"/>
      <c r="C25" s="34"/>
      <c r="D25" s="38" t="s">
        <v>7</v>
      </c>
      <c r="E25" s="40"/>
      <c r="F25" s="40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  <c r="Y25" s="27"/>
      <c r="Z25" s="27"/>
    </row>
    <row r="26" spans="1:26" x14ac:dyDescent="0.3">
      <c r="A26" s="28"/>
      <c r="B26" s="29"/>
      <c r="C26" s="34"/>
      <c r="D26" s="41"/>
      <c r="E26" s="42">
        <v>0.25694444444444442</v>
      </c>
      <c r="F26" s="43">
        <v>0.28194444444444444</v>
      </c>
      <c r="G26" s="29" t="s">
        <v>52</v>
      </c>
      <c r="H26" s="28" t="s">
        <v>66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  <c r="Y26" s="27"/>
      <c r="Z26" s="27"/>
    </row>
    <row r="27" spans="1:26" x14ac:dyDescent="0.3">
      <c r="A27" s="28"/>
      <c r="B27" s="29"/>
      <c r="C27" s="34"/>
      <c r="D27" s="41"/>
      <c r="E27" s="44">
        <v>0.31944444444444442</v>
      </c>
      <c r="F27" s="43"/>
      <c r="G27" s="29" t="s">
        <v>52</v>
      </c>
      <c r="H27" s="28" t="s">
        <v>67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  <c r="Y27" s="27"/>
      <c r="Z27" s="27"/>
    </row>
    <row r="28" spans="1:26" x14ac:dyDescent="0.3">
      <c r="A28" s="28"/>
      <c r="B28" s="29"/>
      <c r="C28" s="34"/>
      <c r="D28" s="41"/>
      <c r="E28" s="44">
        <v>0.73263888888888884</v>
      </c>
      <c r="F28" s="43">
        <v>0.76319444444444384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  <c r="Y28" s="27"/>
      <c r="Z28" s="27"/>
    </row>
    <row r="29" spans="1:26" x14ac:dyDescent="0.3">
      <c r="A29" s="28"/>
      <c r="B29" s="29"/>
      <c r="C29" s="34"/>
      <c r="D29" s="41"/>
      <c r="E29" s="44">
        <v>0.79444444444444384</v>
      </c>
      <c r="F29" s="43"/>
      <c r="G29" s="29" t="s">
        <v>52</v>
      </c>
      <c r="H29" s="28" t="s">
        <v>93</v>
      </c>
      <c r="I29" s="28"/>
      <c r="J29" s="28"/>
      <c r="M29" s="36" t="s">
        <v>13</v>
      </c>
      <c r="N29" s="28" t="s">
        <v>68</v>
      </c>
      <c r="O29" s="28"/>
      <c r="P29" s="28"/>
      <c r="Q29" s="28"/>
      <c r="R29" s="28"/>
      <c r="S29" s="28"/>
      <c r="T29" s="28"/>
      <c r="U29" s="27"/>
      <c r="V29" s="27"/>
      <c r="W29" s="27"/>
      <c r="X29" s="27"/>
      <c r="Y29" s="27"/>
      <c r="Z29" s="27"/>
    </row>
    <row r="30" spans="1:26" x14ac:dyDescent="0.3">
      <c r="A30" s="28"/>
      <c r="B30" s="29"/>
      <c r="C30" s="34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  <c r="Y30" s="27"/>
      <c r="Z30" s="27"/>
    </row>
    <row r="31" spans="1:26" x14ac:dyDescent="0.3">
      <c r="A31" s="28"/>
      <c r="B31" s="29" t="s">
        <v>52</v>
      </c>
      <c r="C31" s="28" t="s">
        <v>69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  <c r="Y31" s="27"/>
      <c r="Z31" s="27"/>
    </row>
    <row r="32" spans="1:26" x14ac:dyDescent="0.3">
      <c r="A32" s="28"/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  <c r="Y32" s="27"/>
      <c r="Z32" s="27"/>
    </row>
    <row r="33" spans="1:26" x14ac:dyDescent="0.3">
      <c r="A33" s="28"/>
      <c r="B33" s="29" t="s">
        <v>52</v>
      </c>
      <c r="C33" s="28" t="s">
        <v>174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  <c r="Y33" s="27"/>
      <c r="Z33" s="27"/>
    </row>
    <row r="34" spans="1:26" x14ac:dyDescent="0.3">
      <c r="A34" s="28"/>
      <c r="B34" s="29"/>
      <c r="C34" s="28" t="s">
        <v>175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  <c r="Y34" s="27"/>
      <c r="Z34" s="27"/>
    </row>
    <row r="35" spans="1:26" x14ac:dyDescent="0.3">
      <c r="A35" s="28"/>
      <c r="B35" s="29"/>
      <c r="C35" s="28" t="s">
        <v>176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  <c r="Y35" s="27"/>
      <c r="Z35" s="27"/>
    </row>
    <row r="36" spans="1:26" x14ac:dyDescent="0.3">
      <c r="A36" s="28"/>
      <c r="B36" s="29"/>
      <c r="C36" s="28" t="s">
        <v>177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  <c r="Y36" s="27"/>
      <c r="Z36" s="27"/>
    </row>
    <row r="37" spans="1:26" x14ac:dyDescent="0.3">
      <c r="A37" s="28"/>
      <c r="B37" s="2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  <c r="Y37" s="27"/>
      <c r="Z37" s="27"/>
    </row>
    <row r="38" spans="1:26" x14ac:dyDescent="0.3">
      <c r="A38" s="28"/>
      <c r="B38" s="29" t="s">
        <v>52</v>
      </c>
      <c r="C38" s="28" t="s">
        <v>70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  <c r="Y38" s="27"/>
      <c r="Z38" s="27"/>
    </row>
    <row r="39" spans="1:26" x14ac:dyDescent="0.3">
      <c r="A39" s="28"/>
      <c r="B39" s="28"/>
      <c r="C39" s="28" t="s">
        <v>152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7"/>
      <c r="V39" s="27"/>
      <c r="W39" s="27"/>
      <c r="X39" s="27"/>
      <c r="Y39" s="27"/>
      <c r="Z39" s="27"/>
    </row>
    <row r="40" spans="1:26" x14ac:dyDescent="0.3">
      <c r="A40" s="28"/>
      <c r="B40" s="28"/>
      <c r="C40" s="28" t="s">
        <v>71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7"/>
      <c r="V40" s="27"/>
      <c r="W40" s="27"/>
      <c r="X40" s="27"/>
      <c r="Y40" s="27"/>
      <c r="Z40" s="27"/>
    </row>
    <row r="41" spans="1:26" x14ac:dyDescent="0.3">
      <c r="A41" s="28"/>
      <c r="B41" s="28"/>
      <c r="C41" s="28"/>
      <c r="D41" s="37" t="s">
        <v>18</v>
      </c>
      <c r="E41" s="45">
        <v>0.50694444444444442</v>
      </c>
      <c r="F41" s="46"/>
      <c r="G41" s="29" t="s">
        <v>52</v>
      </c>
      <c r="H41" s="28" t="s">
        <v>72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7"/>
      <c r="V41" s="27"/>
      <c r="W41" s="27"/>
      <c r="X41" s="27"/>
      <c r="Y41" s="27"/>
      <c r="Z41" s="27"/>
    </row>
    <row r="42" spans="1:26" x14ac:dyDescent="0.3">
      <c r="A42" s="28"/>
      <c r="B42" s="28"/>
      <c r="C42" s="28"/>
      <c r="D42" s="37" t="s">
        <v>21</v>
      </c>
      <c r="E42" s="46"/>
      <c r="F42" s="45">
        <v>0.66666666666666663</v>
      </c>
      <c r="G42" s="29" t="s">
        <v>52</v>
      </c>
      <c r="H42" s="28" t="s">
        <v>73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7"/>
      <c r="V42" s="27"/>
      <c r="W42" s="27"/>
      <c r="X42" s="27"/>
      <c r="Y42" s="27"/>
      <c r="Z42" s="27"/>
    </row>
    <row r="43" spans="1:26" x14ac:dyDescent="0.3">
      <c r="A43" s="28"/>
      <c r="B43" s="28"/>
      <c r="C43" s="28"/>
      <c r="D43" s="37" t="s">
        <v>23</v>
      </c>
      <c r="E43" s="46"/>
      <c r="F43" s="4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7"/>
      <c r="V43" s="27"/>
      <c r="W43" s="27"/>
      <c r="X43" s="27"/>
      <c r="Y43" s="27"/>
      <c r="Z43" s="27"/>
    </row>
    <row r="44" spans="1:26" x14ac:dyDescent="0.3">
      <c r="A44" s="28"/>
      <c r="B44" s="28"/>
      <c r="C44" s="34" t="s">
        <v>56</v>
      </c>
      <c r="D44" s="28" t="s">
        <v>74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7"/>
      <c r="V44" s="27"/>
      <c r="W44" s="27"/>
      <c r="X44" s="27"/>
      <c r="Y44" s="27"/>
      <c r="Z44" s="27"/>
    </row>
    <row r="45" spans="1:26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7"/>
      <c r="V45" s="27"/>
      <c r="W45" s="27"/>
      <c r="X45" s="27"/>
      <c r="Y45" s="27"/>
      <c r="Z45" s="27"/>
    </row>
    <row r="46" spans="1:26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7"/>
      <c r="V46" s="27"/>
      <c r="W46" s="27"/>
      <c r="X46" s="27"/>
      <c r="Y46" s="27"/>
      <c r="Z46" s="27"/>
    </row>
    <row r="47" spans="1:26" x14ac:dyDescent="0.3">
      <c r="A47" s="28"/>
      <c r="B47" s="30" t="s">
        <v>75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28"/>
      <c r="R47" s="28"/>
      <c r="S47" s="28"/>
      <c r="T47" s="28"/>
      <c r="U47" s="27"/>
      <c r="V47" s="27"/>
      <c r="W47" s="27"/>
      <c r="X47" s="27"/>
      <c r="Y47" s="27"/>
      <c r="Z47" s="27"/>
    </row>
    <row r="48" spans="1:26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7"/>
      <c r="V48" s="27"/>
      <c r="W48" s="27"/>
      <c r="X48" s="27"/>
      <c r="Y48" s="27"/>
      <c r="Z48" s="27"/>
    </row>
    <row r="49" spans="1:26" x14ac:dyDescent="0.3">
      <c r="A49" s="28"/>
      <c r="B49" s="28" t="s">
        <v>79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7"/>
      <c r="V49" s="27"/>
      <c r="W49" s="27"/>
      <c r="X49" s="27"/>
      <c r="Y49" s="27"/>
      <c r="Z49" s="27"/>
    </row>
    <row r="50" spans="1:26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7"/>
      <c r="V50" s="27"/>
      <c r="W50" s="27"/>
      <c r="X50" s="27"/>
      <c r="Y50" s="27"/>
      <c r="Z50" s="27"/>
    </row>
    <row r="51" spans="1:26" x14ac:dyDescent="0.3">
      <c r="A51" s="28"/>
      <c r="B51" s="28"/>
      <c r="C51" s="34" t="s">
        <v>56</v>
      </c>
      <c r="D51" s="28" t="s">
        <v>76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7"/>
      <c r="V51" s="27"/>
      <c r="W51" s="27"/>
      <c r="X51" s="27"/>
      <c r="Y51" s="27"/>
      <c r="Z51" s="27"/>
    </row>
    <row r="52" spans="1:26" x14ac:dyDescent="0.3">
      <c r="A52" s="28"/>
      <c r="B52" s="28"/>
      <c r="C52" s="28"/>
      <c r="D52" s="28" t="s">
        <v>80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7"/>
      <c r="V52" s="27"/>
      <c r="W52" s="27"/>
      <c r="X52" s="27"/>
      <c r="Y52" s="27"/>
      <c r="Z52" s="27"/>
    </row>
    <row r="53" spans="1:26" x14ac:dyDescent="0.3">
      <c r="A53" s="28"/>
      <c r="B53" s="28"/>
      <c r="C53" s="34" t="s">
        <v>56</v>
      </c>
      <c r="D53" s="28" t="s">
        <v>77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7"/>
      <c r="V53" s="27"/>
      <c r="W53" s="27"/>
      <c r="X53" s="27"/>
      <c r="Y53" s="27"/>
      <c r="Z53" s="27"/>
    </row>
    <row r="54" spans="1:26" x14ac:dyDescent="0.3">
      <c r="A54" s="28"/>
      <c r="B54" s="28"/>
      <c r="C54" s="28"/>
      <c r="D54" s="28" t="s">
        <v>78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7"/>
      <c r="V54" s="27"/>
      <c r="W54" s="27"/>
      <c r="X54" s="27"/>
      <c r="Y54" s="27"/>
      <c r="Z54" s="27"/>
    </row>
    <row r="55" spans="1:26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7"/>
      <c r="V55" s="27"/>
      <c r="W55" s="27"/>
      <c r="X55" s="27"/>
      <c r="Y55" s="27"/>
      <c r="Z55" s="27"/>
    </row>
    <row r="56" spans="1:26" x14ac:dyDescent="0.3">
      <c r="A56" s="28"/>
      <c r="B56" s="28"/>
      <c r="C56" s="28"/>
      <c r="D56" s="30" t="s">
        <v>81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28"/>
      <c r="R56" s="28"/>
      <c r="S56" s="28"/>
      <c r="T56" s="28"/>
      <c r="U56" s="27"/>
      <c r="V56" s="27"/>
      <c r="W56" s="27"/>
      <c r="X56" s="27"/>
      <c r="Y56" s="27"/>
      <c r="Z56" s="27"/>
    </row>
    <row r="57" spans="1:26" x14ac:dyDescent="0.3">
      <c r="A57" s="28"/>
      <c r="B57" s="28"/>
      <c r="C57" s="28"/>
      <c r="D57" s="47" t="s">
        <v>0</v>
      </c>
      <c r="E57" s="47"/>
      <c r="F57" s="47"/>
      <c r="G57" s="47"/>
      <c r="H57" s="47"/>
      <c r="I57" s="4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7"/>
      <c r="V57" s="27"/>
      <c r="W57" s="27"/>
      <c r="X57" s="27"/>
      <c r="Y57" s="27"/>
      <c r="Z57" s="27"/>
    </row>
    <row r="58" spans="1:26" x14ac:dyDescent="0.3">
      <c r="A58" s="28"/>
      <c r="B58" s="28"/>
      <c r="C58" s="28"/>
      <c r="D58" s="4" t="s">
        <v>2</v>
      </c>
      <c r="E58" s="4"/>
      <c r="F58" s="4"/>
      <c r="G58" s="4"/>
      <c r="H58" s="26" t="s">
        <v>47</v>
      </c>
      <c r="I58" s="23" t="s">
        <v>33</v>
      </c>
      <c r="J58" s="29" t="s">
        <v>52</v>
      </c>
      <c r="K58" s="28" t="s">
        <v>82</v>
      </c>
      <c r="L58" s="28"/>
      <c r="M58" s="28"/>
      <c r="N58" s="28"/>
      <c r="O58" s="28"/>
      <c r="P58" s="28"/>
      <c r="Q58" s="28"/>
      <c r="R58" s="28"/>
      <c r="S58" s="28"/>
      <c r="T58" s="28"/>
      <c r="U58" s="27"/>
      <c r="V58" s="27"/>
      <c r="W58" s="27"/>
      <c r="X58" s="27"/>
      <c r="Y58" s="27"/>
      <c r="Z58" s="27"/>
    </row>
    <row r="59" spans="1:26" x14ac:dyDescent="0.3">
      <c r="A59" s="28"/>
      <c r="B59" s="28"/>
      <c r="C59" s="28"/>
      <c r="D59" s="4" t="s">
        <v>6</v>
      </c>
      <c r="E59" s="4"/>
      <c r="F59" s="4"/>
      <c r="G59" s="4"/>
      <c r="H59" s="26" t="s">
        <v>47</v>
      </c>
      <c r="I59" s="23">
        <v>410</v>
      </c>
      <c r="J59" s="29" t="s">
        <v>52</v>
      </c>
      <c r="K59" s="28" t="s">
        <v>83</v>
      </c>
      <c r="L59" s="28"/>
      <c r="M59" s="28"/>
      <c r="N59" s="28"/>
      <c r="O59" s="28"/>
      <c r="P59" s="28"/>
      <c r="Q59" s="28"/>
      <c r="R59" s="28"/>
      <c r="S59" s="28"/>
      <c r="T59" s="28"/>
      <c r="U59" s="27"/>
      <c r="V59" s="27"/>
      <c r="W59" s="27"/>
      <c r="X59" s="27"/>
      <c r="Y59" s="27"/>
      <c r="Z59" s="27"/>
    </row>
    <row r="60" spans="1:26" x14ac:dyDescent="0.3">
      <c r="A60" s="28"/>
      <c r="B60" s="28"/>
      <c r="C60" s="28"/>
      <c r="D60" s="4" t="s">
        <v>8</v>
      </c>
      <c r="E60" s="4"/>
      <c r="F60" s="4"/>
      <c r="G60" s="4"/>
      <c r="H60" s="26" t="s">
        <v>47</v>
      </c>
      <c r="I60" s="23">
        <v>20</v>
      </c>
      <c r="J60" s="29" t="s">
        <v>52</v>
      </c>
      <c r="K60" s="28" t="s">
        <v>84</v>
      </c>
      <c r="L60" s="28"/>
      <c r="M60" s="28"/>
      <c r="N60" s="28"/>
      <c r="O60" s="28"/>
      <c r="P60" s="28"/>
      <c r="Q60" s="28"/>
      <c r="R60" s="28"/>
      <c r="S60" s="28"/>
      <c r="T60" s="28"/>
      <c r="U60" s="27"/>
      <c r="V60" s="27"/>
      <c r="W60" s="27"/>
      <c r="X60" s="27"/>
      <c r="Y60" s="27"/>
      <c r="Z60" s="27"/>
    </row>
    <row r="61" spans="1:26" x14ac:dyDescent="0.3">
      <c r="A61" s="28"/>
      <c r="B61" s="28"/>
      <c r="C61" s="28"/>
      <c r="D61" s="4" t="s">
        <v>9</v>
      </c>
      <c r="E61" s="4"/>
      <c r="F61" s="4"/>
      <c r="G61" s="4"/>
      <c r="H61" s="26" t="s">
        <v>47</v>
      </c>
      <c r="I61" s="23">
        <v>61</v>
      </c>
      <c r="J61" s="29" t="s">
        <v>52</v>
      </c>
      <c r="K61" s="28" t="s">
        <v>85</v>
      </c>
      <c r="L61" s="28"/>
      <c r="M61" s="28"/>
      <c r="N61" s="28"/>
      <c r="O61" s="28"/>
      <c r="P61" s="28"/>
      <c r="Q61" s="28"/>
      <c r="R61" s="28"/>
      <c r="S61" s="28"/>
      <c r="T61" s="27"/>
      <c r="U61" s="27"/>
      <c r="V61" s="27"/>
      <c r="W61" s="27"/>
      <c r="X61" s="27"/>
      <c r="Y61" s="27"/>
      <c r="Z61" s="27"/>
    </row>
    <row r="62" spans="1:26" x14ac:dyDescent="0.3">
      <c r="A62" s="28"/>
      <c r="B62" s="28"/>
      <c r="C62" s="28"/>
      <c r="D62" s="4" t="s">
        <v>11</v>
      </c>
      <c r="E62" s="4"/>
      <c r="F62" s="4"/>
      <c r="G62" s="4"/>
      <c r="H62" s="26" t="s">
        <v>209</v>
      </c>
      <c r="I62" s="23">
        <v>5</v>
      </c>
      <c r="J62" s="29" t="s">
        <v>52</v>
      </c>
      <c r="K62" s="28" t="s">
        <v>210</v>
      </c>
      <c r="L62" s="28"/>
      <c r="M62" s="28"/>
      <c r="N62" s="28"/>
      <c r="O62" s="28"/>
      <c r="P62" s="28"/>
      <c r="Q62" s="28"/>
      <c r="R62" s="28"/>
      <c r="S62" s="28"/>
      <c r="T62" s="27"/>
      <c r="U62" s="27"/>
      <c r="V62" s="27"/>
      <c r="W62" s="27"/>
      <c r="X62" s="27"/>
      <c r="Y62" s="27"/>
      <c r="Z62" s="27"/>
    </row>
    <row r="63" spans="1:26" x14ac:dyDescent="0.3">
      <c r="A63" s="28"/>
      <c r="B63" s="28"/>
      <c r="C63" s="28"/>
      <c r="D63" s="4" t="s">
        <v>12</v>
      </c>
      <c r="E63" s="4"/>
      <c r="F63" s="4"/>
      <c r="G63" s="4"/>
      <c r="H63" s="26" t="s">
        <v>49</v>
      </c>
      <c r="I63" s="24">
        <v>1.5277777777777777E-2</v>
      </c>
      <c r="J63" s="29" t="s">
        <v>52</v>
      </c>
      <c r="K63" s="28" t="s">
        <v>86</v>
      </c>
      <c r="L63" s="28"/>
      <c r="M63" s="28"/>
      <c r="N63" s="28"/>
      <c r="O63" s="28"/>
      <c r="P63" s="28"/>
      <c r="Q63" s="28"/>
      <c r="R63" s="28"/>
      <c r="S63" s="28"/>
      <c r="T63" s="27"/>
      <c r="U63" s="27"/>
      <c r="V63" s="27"/>
      <c r="W63" s="27"/>
      <c r="X63" s="27"/>
      <c r="Y63" s="27"/>
      <c r="Z63" s="27"/>
    </row>
    <row r="64" spans="1:26" x14ac:dyDescent="0.3">
      <c r="A64" s="28"/>
      <c r="B64" s="28"/>
      <c r="C64" s="28"/>
      <c r="D64" s="4" t="s">
        <v>13</v>
      </c>
      <c r="E64" s="4"/>
      <c r="F64" s="4"/>
      <c r="G64" s="4"/>
      <c r="H64" s="26" t="s">
        <v>49</v>
      </c>
      <c r="I64" s="24">
        <v>1.5277777777777777E-2</v>
      </c>
      <c r="J64" s="29" t="s">
        <v>52</v>
      </c>
      <c r="K64" s="28" t="s">
        <v>87</v>
      </c>
      <c r="L64" s="28"/>
      <c r="M64" s="28"/>
      <c r="N64" s="28"/>
      <c r="O64" s="28"/>
      <c r="P64" s="28"/>
      <c r="Q64" s="28"/>
      <c r="R64" s="28"/>
      <c r="S64" s="28"/>
      <c r="T64" s="27"/>
      <c r="U64" s="27"/>
      <c r="V64" s="27"/>
      <c r="W64" s="27"/>
      <c r="X64" s="27"/>
      <c r="Y64" s="27"/>
      <c r="Z64" s="27"/>
    </row>
    <row r="65" spans="1:26" x14ac:dyDescent="0.3">
      <c r="A65" s="28"/>
      <c r="B65" s="28"/>
      <c r="C65" s="28"/>
      <c r="D65" s="4" t="s">
        <v>14</v>
      </c>
      <c r="E65" s="4"/>
      <c r="F65" s="4"/>
      <c r="G65" s="4"/>
      <c r="H65" s="26" t="s">
        <v>47</v>
      </c>
      <c r="I65" s="23">
        <v>51</v>
      </c>
      <c r="J65" s="29" t="s">
        <v>52</v>
      </c>
      <c r="K65" s="28" t="s">
        <v>88</v>
      </c>
      <c r="L65" s="28"/>
      <c r="M65" s="28"/>
      <c r="N65" s="28"/>
      <c r="O65" s="28"/>
      <c r="P65" s="28"/>
      <c r="Q65" s="28"/>
      <c r="R65" s="28"/>
      <c r="S65" s="28"/>
      <c r="T65" s="27"/>
      <c r="U65" s="27"/>
      <c r="V65" s="27"/>
      <c r="W65" s="27"/>
      <c r="X65" s="27"/>
      <c r="Y65" s="27"/>
      <c r="Z65" s="27"/>
    </row>
    <row r="66" spans="1:26" x14ac:dyDescent="0.3">
      <c r="A66" s="28"/>
      <c r="B66" s="28"/>
      <c r="C66" s="28"/>
      <c r="D66" s="4" t="s">
        <v>46</v>
      </c>
      <c r="E66" s="4"/>
      <c r="F66" s="4"/>
      <c r="G66" s="4"/>
      <c r="H66" s="26" t="s">
        <v>48</v>
      </c>
      <c r="I66" s="23" t="s">
        <v>50</v>
      </c>
      <c r="J66" s="29" t="s">
        <v>52</v>
      </c>
      <c r="K66" s="28" t="s">
        <v>89</v>
      </c>
      <c r="L66" s="28"/>
      <c r="M66" s="28"/>
      <c r="N66" s="28"/>
      <c r="O66" s="28"/>
      <c r="P66" s="28"/>
      <c r="Q66" s="28"/>
      <c r="R66" s="28"/>
      <c r="S66" s="28"/>
      <c r="T66" s="27"/>
      <c r="U66" s="27"/>
      <c r="V66" s="27"/>
      <c r="W66" s="27"/>
      <c r="X66" s="27"/>
      <c r="Y66" s="27"/>
      <c r="Z66" s="27"/>
    </row>
    <row r="67" spans="1:26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7"/>
      <c r="U67" s="27"/>
      <c r="V67" s="27"/>
      <c r="W67" s="27"/>
      <c r="X67" s="27"/>
      <c r="Y67" s="27"/>
      <c r="Z67" s="27"/>
    </row>
    <row r="68" spans="1:26" x14ac:dyDescent="0.3">
      <c r="A68" s="28"/>
      <c r="B68" s="28"/>
      <c r="C68" s="28"/>
      <c r="D68" s="18" t="s">
        <v>1</v>
      </c>
      <c r="E68" s="3">
        <v>1</v>
      </c>
      <c r="F68" s="3">
        <v>1</v>
      </c>
      <c r="G68" s="29" t="s">
        <v>52</v>
      </c>
      <c r="H68" s="28" t="s">
        <v>90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7"/>
      <c r="U68" s="27"/>
      <c r="V68" s="27"/>
      <c r="W68" s="27"/>
      <c r="X68" s="27"/>
      <c r="Y68" s="27"/>
      <c r="Z68" s="27"/>
    </row>
    <row r="69" spans="1:26" x14ac:dyDescent="0.3">
      <c r="A69" s="28"/>
      <c r="B69" s="28"/>
      <c r="C69" s="28"/>
      <c r="D69" s="18" t="s">
        <v>3</v>
      </c>
      <c r="E69" s="3" t="s">
        <v>4</v>
      </c>
      <c r="F69" s="3" t="s">
        <v>5</v>
      </c>
      <c r="G69" s="29" t="s">
        <v>52</v>
      </c>
      <c r="H69" s="28" t="s">
        <v>91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7"/>
      <c r="U69" s="27"/>
      <c r="V69" s="27"/>
      <c r="W69" s="27"/>
      <c r="X69" s="27"/>
      <c r="Y69" s="27"/>
      <c r="Z69" s="27"/>
    </row>
    <row r="70" spans="1:26" ht="15.75" thickBot="1" x14ac:dyDescent="0.35">
      <c r="A70" s="28"/>
      <c r="B70" s="28"/>
      <c r="C70" s="28"/>
      <c r="D70" s="18" t="s">
        <v>7</v>
      </c>
      <c r="E70" s="5"/>
      <c r="F70" s="5">
        <v>163</v>
      </c>
      <c r="G70" s="29" t="s">
        <v>52</v>
      </c>
      <c r="H70" s="28" t="s">
        <v>92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7"/>
      <c r="U70" s="27"/>
      <c r="V70" s="27"/>
      <c r="W70" s="27"/>
      <c r="X70" s="27"/>
      <c r="Y70" s="27"/>
      <c r="Z70" s="27"/>
    </row>
    <row r="71" spans="1:26" x14ac:dyDescent="0.3">
      <c r="A71" s="28"/>
      <c r="B71" s="28"/>
      <c r="C71" s="28"/>
      <c r="D71" s="28"/>
      <c r="E71" s="28"/>
      <c r="F71" s="28"/>
      <c r="G71" s="34"/>
      <c r="H71" s="34" t="s">
        <v>56</v>
      </c>
      <c r="I71" s="28" t="s">
        <v>94</v>
      </c>
      <c r="J71" s="28"/>
      <c r="K71" s="28"/>
      <c r="L71" s="4" t="s">
        <v>8</v>
      </c>
      <c r="M71" s="49" t="s">
        <v>9</v>
      </c>
      <c r="O71" s="28" t="s">
        <v>95</v>
      </c>
      <c r="P71" s="28"/>
      <c r="Q71" s="28"/>
      <c r="R71" s="28"/>
      <c r="S71" s="28"/>
      <c r="T71" s="27"/>
      <c r="U71" s="27"/>
      <c r="V71" s="27"/>
      <c r="W71" s="27"/>
      <c r="X71" s="27"/>
      <c r="Y71" s="27"/>
      <c r="Z71" s="27"/>
    </row>
    <row r="72" spans="1:26" x14ac:dyDescent="0.3">
      <c r="A72" s="28"/>
      <c r="B72" s="28"/>
      <c r="C72" s="28"/>
      <c r="D72" s="28"/>
      <c r="E72" s="28"/>
      <c r="F72" s="28"/>
      <c r="G72" s="28"/>
      <c r="H72" s="28"/>
      <c r="I72" s="28" t="s">
        <v>96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7"/>
      <c r="U72" s="27"/>
      <c r="V72" s="27"/>
      <c r="W72" s="27"/>
      <c r="X72" s="27"/>
      <c r="Y72" s="27"/>
      <c r="Z72" s="27"/>
    </row>
    <row r="73" spans="1:26" x14ac:dyDescent="0.3">
      <c r="A73" s="28"/>
      <c r="B73" s="28"/>
      <c r="C73" s="28"/>
      <c r="D73" s="28"/>
      <c r="E73" s="28"/>
      <c r="F73" s="28"/>
      <c r="G73" s="28"/>
      <c r="H73" s="28"/>
      <c r="I73" s="28" t="s">
        <v>97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7"/>
      <c r="U73" s="27"/>
      <c r="V73" s="27"/>
      <c r="W73" s="27"/>
      <c r="X73" s="27"/>
      <c r="Y73" s="27"/>
      <c r="Z73" s="27"/>
    </row>
    <row r="74" spans="1:26" x14ac:dyDescent="0.3">
      <c r="A74" s="28"/>
      <c r="B74" s="28"/>
      <c r="C74" s="28"/>
      <c r="D74" s="28"/>
      <c r="E74" s="28"/>
      <c r="F74" s="28"/>
      <c r="G74" s="28"/>
      <c r="H74" s="28"/>
      <c r="I74" s="28" t="s">
        <v>98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7"/>
      <c r="U74" s="27"/>
      <c r="V74" s="27"/>
      <c r="W74" s="27"/>
      <c r="X74" s="27"/>
      <c r="Y74" s="27"/>
      <c r="Z74" s="27"/>
    </row>
    <row r="75" spans="1:26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7"/>
      <c r="U75" s="27"/>
      <c r="V75" s="27"/>
      <c r="W75" s="27"/>
      <c r="X75" s="27"/>
      <c r="Y75" s="27"/>
      <c r="Z75" s="27"/>
    </row>
    <row r="76" spans="1:26" x14ac:dyDescent="0.3">
      <c r="A76" s="28"/>
      <c r="B76" s="28"/>
      <c r="C76" s="28"/>
      <c r="D76" s="13" t="s">
        <v>24</v>
      </c>
      <c r="E76" s="1"/>
      <c r="F76" s="2"/>
      <c r="G76" s="2"/>
      <c r="H76" s="2"/>
      <c r="I76" s="51"/>
      <c r="J76" s="52" t="s">
        <v>103</v>
      </c>
      <c r="K76" s="29" t="s">
        <v>52</v>
      </c>
      <c r="L76" s="28" t="s">
        <v>99</v>
      </c>
      <c r="M76" s="28"/>
      <c r="N76" s="28"/>
      <c r="O76" s="28"/>
      <c r="P76" s="28"/>
      <c r="Q76" s="28"/>
      <c r="R76" s="28"/>
      <c r="S76" s="28"/>
      <c r="T76" s="27"/>
      <c r="U76" s="27"/>
      <c r="V76" s="27"/>
      <c r="W76" s="27"/>
      <c r="X76" s="27"/>
      <c r="Y76" s="27"/>
      <c r="Z76" s="27"/>
    </row>
    <row r="77" spans="1:26" x14ac:dyDescent="0.3">
      <c r="A77" s="28"/>
      <c r="B77" s="28"/>
      <c r="C77" s="28"/>
      <c r="D77" s="9" t="s">
        <v>16</v>
      </c>
      <c r="E77" s="9" t="s">
        <v>25</v>
      </c>
      <c r="F77" s="9" t="s">
        <v>26</v>
      </c>
      <c r="G77" s="9" t="s">
        <v>27</v>
      </c>
      <c r="H77" s="10" t="s">
        <v>28</v>
      </c>
      <c r="I77" s="10" t="s">
        <v>17</v>
      </c>
      <c r="J77" s="10" t="s">
        <v>29</v>
      </c>
      <c r="K77" s="28"/>
      <c r="L77" s="28" t="s">
        <v>100</v>
      </c>
      <c r="M77" s="28"/>
      <c r="N77" s="28"/>
      <c r="O77" s="28"/>
      <c r="P77" s="28"/>
      <c r="Q77" s="28"/>
      <c r="R77" s="28"/>
      <c r="S77" s="28"/>
      <c r="T77" s="27"/>
      <c r="U77" s="27"/>
      <c r="V77" s="27"/>
      <c r="W77" s="27"/>
      <c r="X77" s="27"/>
      <c r="Y77" s="27"/>
      <c r="Z77" s="27"/>
    </row>
    <row r="78" spans="1:26" x14ac:dyDescent="0.3">
      <c r="A78" s="28"/>
      <c r="B78" s="28"/>
      <c r="C78" s="28"/>
      <c r="D78" s="14">
        <v>2</v>
      </c>
      <c r="E78" s="15">
        <v>0.22222222222222221</v>
      </c>
      <c r="F78" s="16" t="s">
        <v>4</v>
      </c>
      <c r="G78" s="16"/>
      <c r="H78" s="17"/>
      <c r="I78" s="17">
        <v>57</v>
      </c>
      <c r="J78" s="17" t="s">
        <v>43</v>
      </c>
      <c r="K78" s="29" t="s">
        <v>52</v>
      </c>
      <c r="L78" s="28" t="s">
        <v>101</v>
      </c>
      <c r="M78" s="9" t="s">
        <v>16</v>
      </c>
      <c r="N78" s="9" t="s">
        <v>25</v>
      </c>
      <c r="O78" s="9" t="s">
        <v>26</v>
      </c>
      <c r="P78" s="9" t="s">
        <v>27</v>
      </c>
      <c r="Q78" s="28" t="s">
        <v>102</v>
      </c>
      <c r="R78" s="28"/>
      <c r="S78" s="28"/>
      <c r="T78" s="27"/>
      <c r="U78" s="27"/>
      <c r="V78" s="27"/>
      <c r="W78" s="27"/>
      <c r="X78" s="27"/>
      <c r="Y78" s="27"/>
      <c r="Z78" s="27"/>
    </row>
    <row r="79" spans="1:26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 t="s">
        <v>153</v>
      </c>
      <c r="M79" s="28"/>
      <c r="N79" s="28"/>
      <c r="O79" s="28"/>
      <c r="P79" s="28"/>
      <c r="Q79" s="28"/>
      <c r="R79" s="28"/>
      <c r="S79" s="28"/>
      <c r="T79" s="27"/>
      <c r="U79" s="27"/>
      <c r="V79" s="27"/>
      <c r="W79" s="27"/>
      <c r="X79" s="27"/>
      <c r="Y79" s="27"/>
      <c r="Z79" s="27"/>
    </row>
    <row r="80" spans="1:26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 t="s">
        <v>105</v>
      </c>
      <c r="M80" s="28"/>
      <c r="N80" s="28"/>
      <c r="O80" s="28"/>
      <c r="P80" s="28"/>
      <c r="Q80" s="28"/>
      <c r="R80" s="28"/>
      <c r="S80" s="28"/>
      <c r="T80" s="27"/>
      <c r="U80" s="27"/>
      <c r="V80" s="27"/>
      <c r="W80" s="27"/>
      <c r="X80" s="27"/>
      <c r="Y80" s="27"/>
      <c r="Z80" s="27"/>
    </row>
    <row r="81" spans="1:26" x14ac:dyDescent="0.3">
      <c r="A81" s="28"/>
      <c r="B81" s="28"/>
      <c r="C81" s="28"/>
      <c r="D81" s="13" t="s">
        <v>24</v>
      </c>
      <c r="E81" s="1"/>
      <c r="F81" s="2"/>
      <c r="G81" s="2"/>
      <c r="H81" s="2"/>
      <c r="I81" s="51"/>
      <c r="J81" s="52" t="s">
        <v>104</v>
      </c>
      <c r="K81" s="28"/>
      <c r="L81" s="28" t="s">
        <v>106</v>
      </c>
      <c r="M81" s="28"/>
      <c r="N81" s="28"/>
      <c r="O81" s="28"/>
      <c r="P81" s="28"/>
      <c r="Q81" s="28"/>
      <c r="R81" s="28"/>
      <c r="S81" s="28"/>
      <c r="T81" s="27"/>
      <c r="U81" s="27"/>
      <c r="V81" s="27"/>
      <c r="W81" s="27"/>
      <c r="X81" s="27"/>
      <c r="Y81" s="27"/>
      <c r="Z81" s="27"/>
    </row>
    <row r="82" spans="1:26" x14ac:dyDescent="0.3">
      <c r="A82" s="28"/>
      <c r="B82" s="28"/>
      <c r="C82" s="28"/>
      <c r="D82" s="9" t="s">
        <v>16</v>
      </c>
      <c r="E82" s="9" t="s">
        <v>25</v>
      </c>
      <c r="F82" s="9" t="s">
        <v>26</v>
      </c>
      <c r="G82" s="9" t="s">
        <v>27</v>
      </c>
      <c r="H82" s="10" t="s">
        <v>28</v>
      </c>
      <c r="I82" s="10" t="s">
        <v>17</v>
      </c>
      <c r="J82" s="10" t="s">
        <v>29</v>
      </c>
      <c r="K82" s="29" t="s">
        <v>52</v>
      </c>
      <c r="L82" s="28" t="s">
        <v>107</v>
      </c>
      <c r="M82" s="28"/>
      <c r="N82" s="28"/>
      <c r="O82" s="28"/>
      <c r="P82" s="28"/>
      <c r="Q82" s="28"/>
      <c r="R82" s="28"/>
      <c r="S82" s="28"/>
      <c r="T82" s="27"/>
      <c r="U82" s="27"/>
      <c r="V82" s="27"/>
      <c r="W82" s="27"/>
      <c r="X82" s="27"/>
      <c r="Y82" s="27"/>
      <c r="Z82" s="27"/>
    </row>
    <row r="83" spans="1:26" x14ac:dyDescent="0.3">
      <c r="A83" s="28"/>
      <c r="B83" s="28"/>
      <c r="C83" s="28"/>
      <c r="D83" s="14">
        <v>2</v>
      </c>
      <c r="E83" s="15"/>
      <c r="F83" s="16" t="s">
        <v>4</v>
      </c>
      <c r="G83" s="16"/>
      <c r="H83" s="17"/>
      <c r="I83" s="17">
        <v>57</v>
      </c>
      <c r="J83" s="17" t="s">
        <v>43</v>
      </c>
      <c r="K83" s="28"/>
      <c r="L83" s="28" t="s">
        <v>108</v>
      </c>
      <c r="M83" s="28"/>
      <c r="N83" s="28"/>
      <c r="O83" s="28"/>
      <c r="P83" s="28"/>
      <c r="Q83" s="28"/>
      <c r="R83" s="28"/>
      <c r="S83" s="28"/>
      <c r="T83" s="27"/>
      <c r="U83" s="27"/>
      <c r="V83" s="27"/>
      <c r="W83" s="27"/>
      <c r="X83" s="27"/>
      <c r="Y83" s="27"/>
      <c r="Z83" s="27"/>
    </row>
    <row r="84" spans="1:26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 t="s">
        <v>110</v>
      </c>
      <c r="M84" s="28"/>
      <c r="N84" s="28"/>
      <c r="O84" s="28"/>
      <c r="P84" s="28"/>
      <c r="Q84" s="28"/>
      <c r="R84" s="28"/>
      <c r="S84" s="28"/>
      <c r="T84" s="27"/>
      <c r="U84" s="27"/>
      <c r="V84" s="27"/>
      <c r="W84" s="27"/>
      <c r="X84" s="27"/>
      <c r="Y84" s="27"/>
      <c r="Z84" s="27"/>
    </row>
    <row r="85" spans="1:26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 t="s">
        <v>109</v>
      </c>
      <c r="M85" s="28"/>
      <c r="N85" s="28"/>
      <c r="O85" s="28"/>
      <c r="P85" s="28"/>
      <c r="Q85" s="28"/>
      <c r="R85" s="28"/>
      <c r="S85" s="28"/>
      <c r="T85" s="27"/>
      <c r="U85" s="27"/>
      <c r="V85" s="27"/>
      <c r="W85" s="27"/>
      <c r="X85" s="27"/>
      <c r="Y85" s="27"/>
      <c r="Z85" s="27"/>
    </row>
    <row r="86" spans="1:26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7"/>
      <c r="U86" s="27"/>
      <c r="V86" s="27"/>
      <c r="W86" s="27"/>
      <c r="X86" s="27"/>
      <c r="Y86" s="27"/>
      <c r="Z86" s="27"/>
    </row>
    <row r="87" spans="1:26" x14ac:dyDescent="0.3">
      <c r="A87" s="28"/>
      <c r="B87" s="28"/>
      <c r="C87" s="28"/>
      <c r="D87" s="13" t="s">
        <v>39</v>
      </c>
      <c r="E87" s="1"/>
      <c r="F87" s="2"/>
      <c r="G87" s="2"/>
      <c r="H87" s="2"/>
      <c r="I87" s="2"/>
      <c r="J87" s="2"/>
      <c r="K87" s="29" t="s">
        <v>52</v>
      </c>
      <c r="L87" s="28" t="s">
        <v>111</v>
      </c>
      <c r="M87" s="28"/>
      <c r="N87" s="28"/>
      <c r="O87" s="28"/>
      <c r="P87" s="28"/>
      <c r="Q87" s="28"/>
      <c r="R87" s="28"/>
      <c r="S87" s="28"/>
      <c r="T87" s="27"/>
      <c r="U87" s="27"/>
      <c r="V87" s="27"/>
      <c r="W87" s="27"/>
      <c r="X87" s="27"/>
      <c r="Y87" s="27"/>
      <c r="Z87" s="27"/>
    </row>
    <row r="88" spans="1:26" x14ac:dyDescent="0.3">
      <c r="A88" s="12"/>
      <c r="B88" s="12"/>
      <c r="C88" s="12"/>
      <c r="D88" s="9" t="s">
        <v>34</v>
      </c>
      <c r="E88" s="10" t="s">
        <v>35</v>
      </c>
      <c r="F88" s="10" t="s">
        <v>36</v>
      </c>
      <c r="G88" s="10" t="s">
        <v>37</v>
      </c>
      <c r="H88" s="10" t="s">
        <v>42</v>
      </c>
      <c r="I88" s="10" t="s">
        <v>38</v>
      </c>
      <c r="J88" s="10" t="s">
        <v>30</v>
      </c>
      <c r="K88" s="12"/>
      <c r="L88" s="9" t="s">
        <v>34</v>
      </c>
      <c r="M88" s="12" t="s">
        <v>112</v>
      </c>
      <c r="N88" s="12"/>
      <c r="O88" s="12"/>
      <c r="P88" s="12"/>
      <c r="Q88" s="12"/>
      <c r="R88" s="12"/>
      <c r="S88" s="12"/>
    </row>
    <row r="89" spans="1:26" x14ac:dyDescent="0.3">
      <c r="A89" s="12"/>
      <c r="B89" s="12"/>
      <c r="C89" s="12"/>
      <c r="D89" s="14" t="s">
        <v>40</v>
      </c>
      <c r="E89" s="17" t="s">
        <v>45</v>
      </c>
      <c r="F89" s="17"/>
      <c r="G89" s="17"/>
      <c r="H89" s="17">
        <v>3</v>
      </c>
      <c r="I89" s="17"/>
      <c r="J89" s="17"/>
      <c r="K89" s="12"/>
      <c r="L89" s="12" t="s">
        <v>113</v>
      </c>
      <c r="M89" s="12"/>
      <c r="N89" s="12"/>
      <c r="O89" s="12"/>
      <c r="P89" s="12"/>
      <c r="Q89" s="12"/>
      <c r="R89" s="12"/>
      <c r="S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Q90" s="12"/>
      <c r="R90" s="12"/>
      <c r="S90" s="12"/>
    </row>
    <row r="91" spans="1:26" x14ac:dyDescent="0.3">
      <c r="A91" s="12"/>
      <c r="B91" s="12"/>
      <c r="C91" s="12"/>
      <c r="D91" s="29" t="s">
        <v>52</v>
      </c>
      <c r="E91" s="53" t="s">
        <v>114</v>
      </c>
      <c r="F91" s="12" t="s">
        <v>120</v>
      </c>
      <c r="G91" s="12"/>
      <c r="H91" s="12"/>
      <c r="I91" s="12"/>
      <c r="J91" s="12"/>
      <c r="K91" s="29" t="s">
        <v>52</v>
      </c>
      <c r="L91" s="53" t="s">
        <v>117</v>
      </c>
      <c r="M91" s="12" t="s">
        <v>123</v>
      </c>
      <c r="N91" s="12"/>
      <c r="O91" s="12"/>
      <c r="Q91" s="12"/>
      <c r="R91" s="12"/>
      <c r="S91" s="12"/>
    </row>
    <row r="92" spans="1:26" x14ac:dyDescent="0.3">
      <c r="A92" s="12"/>
      <c r="B92" s="12"/>
      <c r="C92" s="12"/>
      <c r="D92" s="29" t="s">
        <v>52</v>
      </c>
      <c r="E92" s="53" t="s">
        <v>115</v>
      </c>
      <c r="F92" s="12" t="s">
        <v>121</v>
      </c>
      <c r="G92" s="12"/>
      <c r="H92" s="12"/>
      <c r="I92" s="12"/>
      <c r="J92" s="12"/>
      <c r="K92" s="29" t="s">
        <v>52</v>
      </c>
      <c r="L92" s="53" t="s">
        <v>118</v>
      </c>
      <c r="M92" s="12" t="s">
        <v>124</v>
      </c>
      <c r="N92" s="12"/>
      <c r="O92" s="12"/>
      <c r="Q92" s="12"/>
      <c r="R92" s="12"/>
      <c r="S92" s="12"/>
    </row>
    <row r="93" spans="1:26" x14ac:dyDescent="0.3">
      <c r="A93" s="12"/>
      <c r="B93" s="12"/>
      <c r="C93" s="12"/>
      <c r="D93" s="29" t="s">
        <v>52</v>
      </c>
      <c r="E93" s="53" t="s">
        <v>116</v>
      </c>
      <c r="F93" s="12" t="s">
        <v>122</v>
      </c>
      <c r="G93" s="12"/>
      <c r="H93" s="12"/>
      <c r="I93" s="12"/>
      <c r="J93" s="12"/>
      <c r="K93" s="29" t="s">
        <v>52</v>
      </c>
      <c r="L93" s="53" t="s">
        <v>119</v>
      </c>
      <c r="M93" s="12" t="s">
        <v>125</v>
      </c>
      <c r="N93" s="12"/>
      <c r="O93" s="12"/>
      <c r="P93" s="12"/>
      <c r="Q93" s="12"/>
      <c r="R93" s="12"/>
      <c r="S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P94" s="12"/>
      <c r="Q94" s="12"/>
      <c r="R94" s="12"/>
      <c r="S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P95" s="12"/>
      <c r="Q95" s="12"/>
      <c r="R95" s="12"/>
      <c r="S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1:19" x14ac:dyDescent="0.3">
      <c r="A97" s="12"/>
      <c r="B97" s="12"/>
      <c r="C97" s="12"/>
      <c r="D97" s="30" t="s">
        <v>126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12"/>
      <c r="R97" s="12"/>
      <c r="S97" s="12"/>
    </row>
    <row r="98" spans="1:19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1:19" x14ac:dyDescent="0.3">
      <c r="A99" s="12"/>
      <c r="B99" s="12"/>
      <c r="C99" s="12"/>
      <c r="D99" s="28" t="s">
        <v>127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x14ac:dyDescent="0.3">
      <c r="A100" s="12"/>
      <c r="B100" s="12"/>
      <c r="C100" s="12"/>
      <c r="D100" s="12" t="s">
        <v>128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1:19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 x14ac:dyDescent="0.3">
      <c r="A102" s="12"/>
      <c r="B102" s="12"/>
      <c r="C102" s="12"/>
      <c r="D102" s="54" t="s">
        <v>137</v>
      </c>
      <c r="E102" s="54"/>
      <c r="F102" s="54"/>
      <c r="G102" s="55" t="s">
        <v>135</v>
      </c>
      <c r="H102" s="54" t="s">
        <v>136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x14ac:dyDescent="0.3">
      <c r="A103" s="12"/>
      <c r="B103" s="12"/>
      <c r="C103" s="12"/>
      <c r="D103" s="58" t="s">
        <v>129</v>
      </c>
      <c r="E103" s="57"/>
      <c r="F103" s="57"/>
      <c r="G103" s="56" t="s">
        <v>138</v>
      </c>
      <c r="H103" s="12" t="s">
        <v>130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x14ac:dyDescent="0.3">
      <c r="A104" s="12"/>
      <c r="B104" s="12"/>
      <c r="C104" s="12"/>
      <c r="D104" s="12"/>
      <c r="E104" s="12"/>
      <c r="F104" s="12"/>
      <c r="G104" s="56"/>
      <c r="H104" s="12" t="s">
        <v>131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x14ac:dyDescent="0.3">
      <c r="D105" s="58" t="s">
        <v>132</v>
      </c>
      <c r="E105" s="57"/>
      <c r="F105" s="57"/>
      <c r="G105" s="56" t="s">
        <v>139</v>
      </c>
      <c r="H105" s="12" t="s">
        <v>133</v>
      </c>
    </row>
    <row r="106" spans="1:19" x14ac:dyDescent="0.3">
      <c r="D106" s="58" t="s">
        <v>134</v>
      </c>
      <c r="E106" s="57"/>
      <c r="F106" s="57"/>
      <c r="G106" s="56" t="s">
        <v>139</v>
      </c>
      <c r="H106" s="12" t="s">
        <v>140</v>
      </c>
    </row>
    <row r="107" spans="1:19" x14ac:dyDescent="0.3">
      <c r="D107" s="58" t="s">
        <v>141</v>
      </c>
      <c r="E107" s="57"/>
      <c r="F107" s="57"/>
      <c r="G107" s="56" t="s">
        <v>139</v>
      </c>
      <c r="H107" s="12" t="s">
        <v>142</v>
      </c>
    </row>
    <row r="108" spans="1:19" x14ac:dyDescent="0.3">
      <c r="D108" s="58" t="s">
        <v>143</v>
      </c>
      <c r="E108" s="57"/>
      <c r="F108" s="57"/>
      <c r="G108" s="56" t="s">
        <v>139</v>
      </c>
      <c r="H108" s="12" t="s">
        <v>144</v>
      </c>
    </row>
    <row r="109" spans="1:19" x14ac:dyDescent="0.3">
      <c r="D109" s="58" t="s">
        <v>145</v>
      </c>
      <c r="E109" s="57"/>
      <c r="F109" s="57"/>
      <c r="G109" s="56" t="s">
        <v>139</v>
      </c>
      <c r="H109" s="12" t="s">
        <v>146</v>
      </c>
    </row>
    <row r="110" spans="1:19" x14ac:dyDescent="0.3">
      <c r="D110" s="58" t="s">
        <v>154</v>
      </c>
      <c r="E110" s="57"/>
      <c r="F110" s="57"/>
      <c r="G110" s="56" t="s">
        <v>155</v>
      </c>
      <c r="H110" s="12" t="s">
        <v>156</v>
      </c>
    </row>
    <row r="111" spans="1:19" x14ac:dyDescent="0.3">
      <c r="D111" s="58" t="s">
        <v>157</v>
      </c>
      <c r="E111" s="57"/>
      <c r="F111" s="57"/>
      <c r="G111" s="56" t="s">
        <v>139</v>
      </c>
      <c r="H111" s="12" t="s">
        <v>158</v>
      </c>
      <c r="O111" s="4" t="s">
        <v>46</v>
      </c>
      <c r="P111" s="4"/>
      <c r="Q111" s="23" t="s">
        <v>63</v>
      </c>
    </row>
    <row r="112" spans="1:19" x14ac:dyDescent="0.3">
      <c r="D112" s="58" t="s">
        <v>159</v>
      </c>
      <c r="E112" s="57"/>
      <c r="F112" s="57"/>
      <c r="G112" s="56" t="s">
        <v>139</v>
      </c>
      <c r="H112" s="12" t="s">
        <v>160</v>
      </c>
    </row>
    <row r="113" spans="4:18" x14ac:dyDescent="0.3">
      <c r="D113" s="58" t="s">
        <v>161</v>
      </c>
      <c r="E113" s="57"/>
      <c r="F113" s="57"/>
      <c r="G113" s="56" t="s">
        <v>162</v>
      </c>
      <c r="H113" s="12" t="s">
        <v>163</v>
      </c>
    </row>
    <row r="114" spans="4:18" x14ac:dyDescent="0.3">
      <c r="F114" s="12"/>
      <c r="H114" s="12" t="s">
        <v>164</v>
      </c>
    </row>
    <row r="115" spans="4:18" x14ac:dyDescent="0.3">
      <c r="D115" s="58" t="s">
        <v>165</v>
      </c>
      <c r="E115" s="57"/>
      <c r="F115" s="57"/>
      <c r="G115" s="56" t="s">
        <v>162</v>
      </c>
      <c r="H115" s="12" t="s">
        <v>166</v>
      </c>
    </row>
    <row r="116" spans="4:18" x14ac:dyDescent="0.3">
      <c r="F116" s="12"/>
      <c r="G116" s="34" t="s">
        <v>56</v>
      </c>
      <c r="H116" s="28" t="s">
        <v>167</v>
      </c>
    </row>
    <row r="117" spans="4:18" x14ac:dyDescent="0.3">
      <c r="F117" s="12"/>
      <c r="G117" s="34" t="s">
        <v>56</v>
      </c>
      <c r="H117" s="12" t="s">
        <v>168</v>
      </c>
    </row>
    <row r="118" spans="4:18" x14ac:dyDescent="0.3">
      <c r="F118" s="12"/>
      <c r="G118" s="34" t="s">
        <v>56</v>
      </c>
      <c r="H118" s="12" t="s">
        <v>169</v>
      </c>
      <c r="O118" s="59" t="s">
        <v>170</v>
      </c>
      <c r="P118" s="60"/>
      <c r="Q118" s="60"/>
      <c r="R118" s="60"/>
    </row>
    <row r="119" spans="4:18" x14ac:dyDescent="0.3">
      <c r="F119" s="12"/>
      <c r="H119" s="12" t="s">
        <v>171</v>
      </c>
    </row>
    <row r="120" spans="4:18" x14ac:dyDescent="0.3">
      <c r="F120" s="12"/>
      <c r="H120" s="12" t="s">
        <v>172</v>
      </c>
    </row>
    <row r="121" spans="4:18" x14ac:dyDescent="0.3">
      <c r="D121" s="58" t="s">
        <v>173</v>
      </c>
      <c r="E121" s="57"/>
      <c r="F121" s="57"/>
      <c r="G121" s="56" t="s">
        <v>138</v>
      </c>
      <c r="H121" s="12" t="s">
        <v>178</v>
      </c>
    </row>
    <row r="122" spans="4:18" x14ac:dyDescent="0.3">
      <c r="D122" s="58" t="s">
        <v>179</v>
      </c>
      <c r="E122" s="57"/>
      <c r="F122" s="57"/>
      <c r="G122" s="56" t="s">
        <v>138</v>
      </c>
      <c r="H122" s="12" t="s">
        <v>180</v>
      </c>
    </row>
    <row r="123" spans="4:18" x14ac:dyDescent="0.3">
      <c r="F123" s="12"/>
      <c r="G123" s="34" t="s">
        <v>56</v>
      </c>
      <c r="H123" s="12" t="s">
        <v>181</v>
      </c>
    </row>
    <row r="124" spans="4:18" x14ac:dyDescent="0.3">
      <c r="F124" s="12"/>
      <c r="G124" s="34" t="s">
        <v>56</v>
      </c>
      <c r="H124" s="12" t="s">
        <v>182</v>
      </c>
    </row>
    <row r="125" spans="4:18" x14ac:dyDescent="0.3">
      <c r="F125" s="12"/>
      <c r="G125" s="34" t="s">
        <v>56</v>
      </c>
      <c r="H125" s="12" t="s">
        <v>183</v>
      </c>
    </row>
    <row r="126" spans="4:18" x14ac:dyDescent="0.3">
      <c r="D126" s="58" t="s">
        <v>184</v>
      </c>
      <c r="E126" s="57"/>
      <c r="F126" s="57"/>
      <c r="G126" s="56" t="s">
        <v>162</v>
      </c>
      <c r="H126" s="12" t="s">
        <v>185</v>
      </c>
    </row>
    <row r="127" spans="4:18" x14ac:dyDescent="0.3">
      <c r="F127" s="12"/>
      <c r="G127" s="34" t="s">
        <v>56</v>
      </c>
      <c r="H127" s="12" t="s">
        <v>186</v>
      </c>
    </row>
    <row r="128" spans="4:18" x14ac:dyDescent="0.3">
      <c r="D128" s="58" t="s">
        <v>187</v>
      </c>
      <c r="E128" s="57"/>
      <c r="F128" s="57"/>
      <c r="G128" s="56" t="s">
        <v>162</v>
      </c>
      <c r="H128" s="12" t="s">
        <v>188</v>
      </c>
    </row>
    <row r="129" spans="4:11" x14ac:dyDescent="0.3">
      <c r="F129" s="12"/>
      <c r="G129" s="34" t="s">
        <v>56</v>
      </c>
      <c r="H129" s="61" t="s">
        <v>189</v>
      </c>
    </row>
    <row r="130" spans="4:11" x14ac:dyDescent="0.3">
      <c r="F130" s="12"/>
      <c r="G130" s="34" t="s">
        <v>56</v>
      </c>
      <c r="H130" s="61" t="s">
        <v>190</v>
      </c>
    </row>
    <row r="131" spans="4:11" x14ac:dyDescent="0.3">
      <c r="F131" s="12"/>
      <c r="G131" s="34" t="s">
        <v>56</v>
      </c>
      <c r="H131" s="61" t="s">
        <v>191</v>
      </c>
    </row>
    <row r="132" spans="4:11" x14ac:dyDescent="0.3">
      <c r="F132" s="12"/>
      <c r="G132" s="34" t="s">
        <v>56</v>
      </c>
      <c r="H132" s="62" t="s">
        <v>192</v>
      </c>
    </row>
    <row r="133" spans="4:11" x14ac:dyDescent="0.3">
      <c r="D133" s="58" t="s">
        <v>193</v>
      </c>
      <c r="E133" s="57"/>
      <c r="F133" s="57"/>
      <c r="G133" s="56" t="s">
        <v>138</v>
      </c>
      <c r="H133" s="62" t="s">
        <v>194</v>
      </c>
    </row>
    <row r="134" spans="4:11" x14ac:dyDescent="0.3">
      <c r="F134" s="12"/>
    </row>
    <row r="135" spans="4:11" x14ac:dyDescent="0.3">
      <c r="D135" s="63" t="s">
        <v>195</v>
      </c>
      <c r="E135" s="64"/>
      <c r="F135" s="64"/>
      <c r="G135" s="56" t="s">
        <v>162</v>
      </c>
      <c r="H135" s="62" t="s">
        <v>196</v>
      </c>
    </row>
    <row r="136" spans="4:11" x14ac:dyDescent="0.3">
      <c r="F136" s="12"/>
      <c r="G136" s="34" t="s">
        <v>56</v>
      </c>
      <c r="H136" s="62" t="s">
        <v>197</v>
      </c>
    </row>
    <row r="137" spans="4:11" x14ac:dyDescent="0.3">
      <c r="F137" s="12"/>
      <c r="G137" s="34" t="s">
        <v>56</v>
      </c>
      <c r="H137" s="62" t="s">
        <v>198</v>
      </c>
    </row>
    <row r="138" spans="4:11" x14ac:dyDescent="0.3">
      <c r="F138" s="12"/>
      <c r="G138" s="34" t="s">
        <v>56</v>
      </c>
      <c r="H138" s="62" t="s">
        <v>199</v>
      </c>
    </row>
    <row r="139" spans="4:11" x14ac:dyDescent="0.3">
      <c r="F139" s="12"/>
      <c r="G139" s="34" t="s">
        <v>56</v>
      </c>
      <c r="H139" s="62" t="s">
        <v>200</v>
      </c>
    </row>
    <row r="140" spans="4:11" x14ac:dyDescent="0.3">
      <c r="F140" s="12"/>
      <c r="G140" s="34" t="s">
        <v>56</v>
      </c>
      <c r="H140" s="62" t="s">
        <v>201</v>
      </c>
    </row>
    <row r="141" spans="4:11" x14ac:dyDescent="0.3">
      <c r="F141" s="12"/>
      <c r="G141" s="34" t="s">
        <v>56</v>
      </c>
      <c r="H141" s="62" t="s">
        <v>202</v>
      </c>
    </row>
    <row r="142" spans="4:11" x14ac:dyDescent="0.3">
      <c r="H142" s="65" t="s">
        <v>204</v>
      </c>
      <c r="I142" s="66"/>
      <c r="J142" s="66"/>
      <c r="K142" s="12" t="s">
        <v>205</v>
      </c>
    </row>
    <row r="143" spans="4:11" x14ac:dyDescent="0.3">
      <c r="H143" s="67" t="s">
        <v>203</v>
      </c>
      <c r="I143" s="68"/>
      <c r="J143" s="66"/>
      <c r="K143" s="12" t="s">
        <v>206</v>
      </c>
    </row>
    <row r="144" spans="4:11" x14ac:dyDescent="0.3">
      <c r="H144" s="69" t="s">
        <v>208</v>
      </c>
      <c r="I144" s="70"/>
      <c r="J144" s="66"/>
      <c r="K144" s="12" t="s">
        <v>207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0"/>
  <sheetViews>
    <sheetView showGridLines="0" tabSelected="1" zoomScaleNormal="100" workbookViewId="0"/>
  </sheetViews>
  <sheetFormatPr defaultColWidth="8.5546875" defaultRowHeight="15.05" x14ac:dyDescent="0.3"/>
  <cols>
    <col min="1" max="7" width="6.6640625" customWidth="1"/>
  </cols>
  <sheetData>
    <row r="1" spans="1:48" x14ac:dyDescent="0.3">
      <c r="A1" s="1" t="s">
        <v>0</v>
      </c>
      <c r="B1" s="1"/>
      <c r="C1" s="1"/>
      <c r="D1" s="1"/>
      <c r="E1" s="1"/>
      <c r="F1" s="22"/>
      <c r="G1" s="19"/>
      <c r="H1" s="18" t="s">
        <v>1</v>
      </c>
      <c r="I1" s="89">
        <v>1</v>
      </c>
      <c r="J1" s="89">
        <f>IF(COUNTIF($I1:I1, I1) &lt; VLOOKUP($F$11, $A$20:$E$26, 4, 0), I1, I1 + 1)</f>
        <v>1</v>
      </c>
      <c r="K1" s="90">
        <f>IF(COUNTIF($I1:J1, J1) &lt; VLOOKUP($F$11, $A$20:$E$26, 4, 0), J1, J1 + 1)</f>
        <v>2</v>
      </c>
      <c r="L1" s="90">
        <f>IF(COUNTIF($I1:K1, K1) &lt; VLOOKUP($F$11, $A$20:$E$26, 4, 0), K1, K1 + 1)</f>
        <v>2</v>
      </c>
      <c r="M1" s="89">
        <f>IF(COUNTIF($I1:L1, L1) &lt; VLOOKUP($F$11, $A$20:$E$26, 4, 0), L1, L1 + 1)</f>
        <v>3</v>
      </c>
      <c r="N1" s="89">
        <f>IF(COUNTIF($I1:M1, M1) &lt; VLOOKUP($F$11, $A$20:$E$26, 4, 0), M1, M1 + 1)</f>
        <v>3</v>
      </c>
      <c r="O1" s="90">
        <f>IF(COUNTIF($I1:N1, N1) &lt; VLOOKUP($F$11, $A$20:$E$26, 4, 0), N1, N1 + 1)</f>
        <v>4</v>
      </c>
      <c r="P1" s="90">
        <f>IF(COUNTIF($I1:O1, O1) &lt; VLOOKUP($F$11, $A$20:$E$26, 4, 0), O1, O1 + 1)</f>
        <v>4</v>
      </c>
      <c r="Q1" s="89">
        <f>IF(COUNTIF($I1:P1, P1) &lt; VLOOKUP($F$11, $A$20:$E$26, 4, 0), P1, P1 + 1)</f>
        <v>5</v>
      </c>
      <c r="R1" s="89">
        <f>IF(COUNTIF($I1:Q1, Q1) &lt; VLOOKUP($F$11, $A$20:$E$26, 4, 0), Q1, Q1 + 1)</f>
        <v>5</v>
      </c>
      <c r="S1" s="90">
        <f>IF(COUNTIF($I1:R1, R1) &lt; VLOOKUP($F$11, $A$20:$E$26, 4, 0), R1, R1 + 1)</f>
        <v>6</v>
      </c>
      <c r="T1" s="90">
        <f>IF(COUNTIF($I1:S1, S1) &lt; VLOOKUP($F$11, $A$20:$E$26, 4, 0), S1, S1 + 1)</f>
        <v>6</v>
      </c>
      <c r="U1" s="89">
        <f>IF(COUNTIF($I1:T1, T1) &lt; VLOOKUP($F$11, $A$20:$E$26, 4, 0), T1, T1 + 1)</f>
        <v>7</v>
      </c>
      <c r="V1" s="89">
        <f>IF(COUNTIF($I1:U1, U1) &lt; VLOOKUP($F$11, $A$20:$E$26, 4, 0), U1, U1 + 1)</f>
        <v>7</v>
      </c>
      <c r="W1" s="90">
        <f>IF(COUNTIF($I1:V1, V1) &lt; VLOOKUP($F$11, $A$20:$E$26, 4, 0), V1, V1 + 1)</f>
        <v>8</v>
      </c>
      <c r="X1" s="90">
        <f>IF(COUNTIF($I1:W1, W1) &lt; VLOOKUP($F$11, $A$20:$E$26, 4, 0), W1, W1 + 1)</f>
        <v>8</v>
      </c>
      <c r="Y1" s="89">
        <f>IF(COUNTIF($I1:X1, X1) &lt; VLOOKUP($F$11, $A$20:$E$26, 4, 0), X1, X1 + 1)</f>
        <v>9</v>
      </c>
      <c r="Z1" s="89">
        <f>IF(COUNTIF($I1:Y1, Y1) &lt; VLOOKUP($F$11, $A$20:$E$26, 4, 0), Y1, Y1 + 1)</f>
        <v>9</v>
      </c>
      <c r="AA1" s="90">
        <f>IF(COUNTIF($I1:Z1, Z1) &lt; VLOOKUP($F$11, $A$20:$E$26, 4, 0), Z1, Z1 + 1)</f>
        <v>10</v>
      </c>
      <c r="AB1" s="90">
        <f>IF(COUNTIF($I1:AA1, AA1) &lt; VLOOKUP($F$11, $A$20:$E$26, 4, 0), AA1, AA1 + 1)</f>
        <v>10</v>
      </c>
      <c r="AC1" s="89">
        <f>IF(COUNTIF($I1:AB1, AB1) &lt; VLOOKUP($F$11, $A$20:$E$26, 4, 0), AB1, AB1 + 1)</f>
        <v>11</v>
      </c>
      <c r="AD1" s="89">
        <f>IF(COUNTIF($I1:AC1, AC1) &lt; VLOOKUP($F$11, $A$20:$E$26, 4, 0), AC1, AC1 + 1)</f>
        <v>11</v>
      </c>
      <c r="AE1" s="90">
        <f>IF(COUNTIF($I1:AD1, AD1) &lt; VLOOKUP($F$11, $A$20:$E$26, 4, 0), AD1, AD1 + 1)</f>
        <v>12</v>
      </c>
      <c r="AF1" s="90">
        <f>IF(COUNTIF($I1:AE1, AE1) &lt; VLOOKUP($F$11, $A$20:$E$26, 4, 0), AE1, AE1 + 1)</f>
        <v>12</v>
      </c>
      <c r="AG1" s="89">
        <f>IF(COUNTIF($I1:AF1, AF1) &lt; VLOOKUP($F$11, $A$20:$E$26, 4, 0), AF1, AF1 + 1)</f>
        <v>13</v>
      </c>
      <c r="AH1" s="89">
        <f>IF(COUNTIF($I1:AG1, AG1) &lt; VLOOKUP($F$11, $A$20:$E$26, 4, 0), AG1, AG1 + 1)</f>
        <v>13</v>
      </c>
      <c r="AI1" s="90">
        <f>IF(COUNTIF($I1:AH1, AH1) &lt; VLOOKUP($F$11, $A$20:$E$26, 4, 0), AH1, AH1 + 1)</f>
        <v>14</v>
      </c>
      <c r="AJ1" s="90">
        <f>IF(COUNTIF($I1:AI1, AI1) &lt; VLOOKUP($F$11, $A$20:$E$26, 4, 0), AI1, AI1 + 1)</f>
        <v>14</v>
      </c>
      <c r="AK1" s="89">
        <f>IF(COUNTIF($I1:AJ1, AJ1) &lt; VLOOKUP($F$11, $A$20:$E$26, 4, 0), AJ1, AJ1 + 1)</f>
        <v>15</v>
      </c>
      <c r="AL1" s="89">
        <f>IF(COUNTIF($I1:AK1, AK1) &lt; VLOOKUP($F$11, $A$20:$E$26, 4, 0), AK1, AK1 + 1)</f>
        <v>15</v>
      </c>
      <c r="AM1" s="90">
        <f>IF(COUNTIF($I1:AL1, AL1) &lt; VLOOKUP($F$11, $A$20:$E$26, 4, 0), AL1, AL1 + 1)</f>
        <v>16</v>
      </c>
      <c r="AN1" s="90">
        <f>IF(COUNTIF($I1:AM1, AM1) &lt; VLOOKUP($F$11, $A$20:$E$26, 4, 0), AM1, AM1 + 1)</f>
        <v>16</v>
      </c>
      <c r="AO1" s="89">
        <f>IF(COUNTIF($I1:AN1, AN1) &lt; VLOOKUP($F$11, $A$20:$E$26, 4, 0), AN1, AN1 + 1)</f>
        <v>17</v>
      </c>
      <c r="AP1" s="89">
        <f>IF(COUNTIF($I1:AO1, AO1) &lt; VLOOKUP($F$11, $A$20:$E$26, 4, 0), AO1, AO1 + 1)</f>
        <v>17</v>
      </c>
      <c r="AQ1" s="90">
        <f>IF(COUNTIF($I1:AP1, AP1) &lt; VLOOKUP($F$11, $A$20:$E$26, 4, 0), AP1, AP1 + 1)</f>
        <v>18</v>
      </c>
      <c r="AR1" s="90">
        <f>IF(COUNTIF($I1:AQ1, AQ1) &lt; VLOOKUP($F$11, $A$20:$E$26, 4, 0), AQ1, AQ1 + 1)</f>
        <v>18</v>
      </c>
      <c r="AS1" s="89">
        <f>IF(COUNTIF($I1:AR1, AR1) &lt; VLOOKUP($F$11, $A$20:$E$26, 4, 0), AR1, AR1 + 1)</f>
        <v>19</v>
      </c>
      <c r="AT1" s="89">
        <f>IF(COUNTIF($I1:AS1, AS1) &lt; VLOOKUP($F$11, $A$20:$E$26, 4, 0), AS1, AS1 + 1)</f>
        <v>19</v>
      </c>
      <c r="AU1" s="90">
        <f>IF(COUNTIF($I1:AT1, AT1) &lt; VLOOKUP($F$11, $A$20:$E$26, 4, 0), AT1, AT1 + 1)</f>
        <v>20</v>
      </c>
      <c r="AV1" s="90">
        <f>IF(COUNTIF($I1:AU1, AU1) &lt; VLOOKUP($F$11, $A$20:$E$26, 4, 0), AU1, AU1 + 1)</f>
        <v>20</v>
      </c>
    </row>
    <row r="2" spans="1:48" x14ac:dyDescent="0.3">
      <c r="A2" s="4" t="s">
        <v>2</v>
      </c>
      <c r="B2" s="4"/>
      <c r="C2" s="4"/>
      <c r="D2" s="4"/>
      <c r="E2" s="26" t="s">
        <v>47</v>
      </c>
      <c r="F2" s="23" t="s">
        <v>33</v>
      </c>
      <c r="G2" s="20"/>
      <c r="H2" s="18" t="s">
        <v>3</v>
      </c>
      <c r="I2" s="89" t="str">
        <f>MID(VLOOKUP($F$11, $A$20:$E$26, 5, 0), MOD(COLUMN(I2)-COLUMN($I$2), VLOOKUP($F$11, $A$20:$E$26, 4, 0)) + 1, 1)</f>
        <v>I</v>
      </c>
      <c r="J2" s="89" t="str">
        <f t="shared" ref="J2:AV2" si="0">MID(VLOOKUP($F$11, $A$20:$E$26, 5, 0), MOD(COLUMN(J2)-COLUMN($I$2), VLOOKUP($F$11, $A$20:$E$26, 4, 0)) + 1, 1)</f>
        <v>V</v>
      </c>
      <c r="K2" s="90" t="str">
        <f t="shared" si="0"/>
        <v>I</v>
      </c>
      <c r="L2" s="90" t="str">
        <f t="shared" si="0"/>
        <v>V</v>
      </c>
      <c r="M2" s="89" t="str">
        <f t="shared" si="0"/>
        <v>I</v>
      </c>
      <c r="N2" s="89" t="str">
        <f t="shared" si="0"/>
        <v>V</v>
      </c>
      <c r="O2" s="90" t="str">
        <f t="shared" si="0"/>
        <v>I</v>
      </c>
      <c r="P2" s="90" t="str">
        <f t="shared" si="0"/>
        <v>V</v>
      </c>
      <c r="Q2" s="89" t="str">
        <f t="shared" si="0"/>
        <v>I</v>
      </c>
      <c r="R2" s="89" t="str">
        <f t="shared" si="0"/>
        <v>V</v>
      </c>
      <c r="S2" s="90" t="str">
        <f t="shared" si="0"/>
        <v>I</v>
      </c>
      <c r="T2" s="90" t="str">
        <f t="shared" si="0"/>
        <v>V</v>
      </c>
      <c r="U2" s="89" t="str">
        <f t="shared" si="0"/>
        <v>I</v>
      </c>
      <c r="V2" s="89" t="str">
        <f t="shared" si="0"/>
        <v>V</v>
      </c>
      <c r="W2" s="90" t="str">
        <f t="shared" si="0"/>
        <v>I</v>
      </c>
      <c r="X2" s="90" t="str">
        <f t="shared" si="0"/>
        <v>V</v>
      </c>
      <c r="Y2" s="89" t="str">
        <f t="shared" si="0"/>
        <v>I</v>
      </c>
      <c r="Z2" s="89" t="str">
        <f t="shared" si="0"/>
        <v>V</v>
      </c>
      <c r="AA2" s="90" t="str">
        <f t="shared" si="0"/>
        <v>I</v>
      </c>
      <c r="AB2" s="90" t="str">
        <f t="shared" si="0"/>
        <v>V</v>
      </c>
      <c r="AC2" s="89" t="str">
        <f t="shared" si="0"/>
        <v>I</v>
      </c>
      <c r="AD2" s="89" t="str">
        <f t="shared" si="0"/>
        <v>V</v>
      </c>
      <c r="AE2" s="90" t="str">
        <f t="shared" si="0"/>
        <v>I</v>
      </c>
      <c r="AF2" s="90" t="str">
        <f t="shared" si="0"/>
        <v>V</v>
      </c>
      <c r="AG2" s="89" t="str">
        <f t="shared" si="0"/>
        <v>I</v>
      </c>
      <c r="AH2" s="89" t="str">
        <f t="shared" si="0"/>
        <v>V</v>
      </c>
      <c r="AI2" s="90" t="str">
        <f t="shared" si="0"/>
        <v>I</v>
      </c>
      <c r="AJ2" s="90" t="str">
        <f t="shared" si="0"/>
        <v>V</v>
      </c>
      <c r="AK2" s="89" t="str">
        <f t="shared" si="0"/>
        <v>I</v>
      </c>
      <c r="AL2" s="89" t="str">
        <f t="shared" si="0"/>
        <v>V</v>
      </c>
      <c r="AM2" s="90" t="str">
        <f t="shared" si="0"/>
        <v>I</v>
      </c>
      <c r="AN2" s="90" t="str">
        <f t="shared" si="0"/>
        <v>V</v>
      </c>
      <c r="AO2" s="89" t="str">
        <f t="shared" si="0"/>
        <v>I</v>
      </c>
      <c r="AP2" s="89" t="str">
        <f t="shared" si="0"/>
        <v>V</v>
      </c>
      <c r="AQ2" s="90" t="str">
        <f t="shared" si="0"/>
        <v>I</v>
      </c>
      <c r="AR2" s="90" t="str">
        <f t="shared" si="0"/>
        <v>V</v>
      </c>
      <c r="AS2" s="89" t="str">
        <f t="shared" si="0"/>
        <v>I</v>
      </c>
      <c r="AT2" s="89" t="str">
        <f t="shared" si="0"/>
        <v>V</v>
      </c>
      <c r="AU2" s="90" t="str">
        <f t="shared" si="0"/>
        <v>I</v>
      </c>
      <c r="AV2" s="90" t="str">
        <f t="shared" si="0"/>
        <v>V</v>
      </c>
    </row>
    <row r="3" spans="1:48" x14ac:dyDescent="0.3">
      <c r="A3" s="4" t="s">
        <v>6</v>
      </c>
      <c r="B3" s="4"/>
      <c r="C3" s="4"/>
      <c r="D3" s="4"/>
      <c r="E3" s="26" t="s">
        <v>47</v>
      </c>
      <c r="F3" s="23">
        <v>410</v>
      </c>
      <c r="G3" s="20"/>
      <c r="H3" s="18" t="s">
        <v>7</v>
      </c>
      <c r="I3" s="91"/>
      <c r="J3" s="91"/>
      <c r="K3" s="92"/>
      <c r="L3" s="92"/>
      <c r="M3" s="91"/>
      <c r="N3" s="91"/>
      <c r="O3" s="92"/>
      <c r="P3" s="92"/>
      <c r="Q3" s="91"/>
      <c r="R3" s="91"/>
      <c r="S3" s="92"/>
      <c r="T3" s="92"/>
      <c r="U3" s="91"/>
      <c r="V3" s="91"/>
      <c r="W3" s="92"/>
      <c r="X3" s="92"/>
      <c r="Y3" s="91"/>
      <c r="Z3" s="91"/>
      <c r="AA3" s="92"/>
      <c r="AB3" s="92"/>
      <c r="AC3" s="91"/>
      <c r="AD3" s="91"/>
      <c r="AE3" s="92"/>
      <c r="AF3" s="92"/>
      <c r="AG3" s="91"/>
      <c r="AH3" s="91"/>
      <c r="AI3" s="92"/>
      <c r="AJ3" s="92"/>
      <c r="AK3" s="91"/>
      <c r="AL3" s="91"/>
      <c r="AM3" s="92"/>
      <c r="AN3" s="92"/>
      <c r="AO3" s="91"/>
      <c r="AP3" s="91"/>
      <c r="AQ3" s="92"/>
      <c r="AR3" s="92"/>
      <c r="AS3" s="91"/>
      <c r="AT3" s="91"/>
      <c r="AU3" s="92"/>
      <c r="AV3" s="92"/>
    </row>
    <row r="4" spans="1:48" x14ac:dyDescent="0.3">
      <c r="A4" s="4" t="s">
        <v>8</v>
      </c>
      <c r="B4" s="4"/>
      <c r="C4" s="4"/>
      <c r="D4" s="4"/>
      <c r="E4" s="26" t="s">
        <v>47</v>
      </c>
      <c r="F4" s="23">
        <v>20</v>
      </c>
      <c r="G4" s="20"/>
      <c r="H4" s="50">
        <v>1</v>
      </c>
      <c r="I4" s="93">
        <v>0.20833333333333334</v>
      </c>
      <c r="J4" s="94">
        <v>0.22291666666666668</v>
      </c>
      <c r="K4" s="95">
        <v>0.22222222222222224</v>
      </c>
      <c r="L4" s="95">
        <v>0.23958333333333334</v>
      </c>
      <c r="M4" s="94">
        <v>0.23611111111111113</v>
      </c>
      <c r="N4" s="94">
        <v>0.26111111111111113</v>
      </c>
      <c r="O4" s="95"/>
      <c r="P4" s="95">
        <v>0.20833333333333334</v>
      </c>
      <c r="Q4" s="94">
        <v>0.25</v>
      </c>
      <c r="R4" s="94">
        <v>0.27500000000000002</v>
      </c>
      <c r="S4" s="95">
        <v>0.25694444444444442</v>
      </c>
      <c r="T4" s="95">
        <v>0.28194444444444444</v>
      </c>
      <c r="U4" s="94">
        <v>0.27083333333333326</v>
      </c>
      <c r="V4" s="94">
        <v>0.29583333333333328</v>
      </c>
      <c r="W4" s="95">
        <v>0.27777777777777768</v>
      </c>
      <c r="X4" s="95">
        <v>0.3027777777777777</v>
      </c>
      <c r="Y4" s="94"/>
      <c r="Z4" s="94">
        <v>0.24722222222222223</v>
      </c>
      <c r="AA4" s="95">
        <v>0.22916666666666666</v>
      </c>
      <c r="AB4" s="95">
        <v>0.25416666666666665</v>
      </c>
      <c r="AC4" s="94"/>
      <c r="AD4" s="94"/>
      <c r="AE4" s="95"/>
      <c r="AF4" s="95"/>
      <c r="AG4" s="94"/>
      <c r="AH4" s="94"/>
      <c r="AI4" s="95"/>
      <c r="AJ4" s="95"/>
      <c r="AK4" s="94"/>
      <c r="AL4" s="94"/>
      <c r="AM4" s="95"/>
      <c r="AN4" s="95"/>
      <c r="AO4" s="94"/>
      <c r="AP4" s="94"/>
      <c r="AQ4" s="95"/>
      <c r="AR4" s="95"/>
      <c r="AS4" s="94"/>
      <c r="AT4" s="94"/>
      <c r="AU4" s="95"/>
      <c r="AV4" s="95"/>
    </row>
    <row r="5" spans="1:48" x14ac:dyDescent="0.3">
      <c r="A5" s="4" t="s">
        <v>9</v>
      </c>
      <c r="B5" s="4"/>
      <c r="C5" s="4"/>
      <c r="D5" s="4"/>
      <c r="E5" s="26" t="s">
        <v>47</v>
      </c>
      <c r="F5" s="23">
        <v>61</v>
      </c>
      <c r="G5" s="20"/>
      <c r="H5" s="50">
        <v>2</v>
      </c>
      <c r="I5" s="96">
        <v>0.2638888888888889</v>
      </c>
      <c r="J5" s="94">
        <v>0.28888888888888886</v>
      </c>
      <c r="K5" s="95">
        <v>0.28472222222222221</v>
      </c>
      <c r="L5" s="95">
        <v>0.30972222222222212</v>
      </c>
      <c r="M5" s="94">
        <v>0.29861111111111116</v>
      </c>
      <c r="N5" s="94">
        <v>0.32361111111111096</v>
      </c>
      <c r="O5" s="95">
        <v>0.24305555555555558</v>
      </c>
      <c r="P5" s="95">
        <v>0.2680555555555556</v>
      </c>
      <c r="Q5" s="94">
        <v>0.3125</v>
      </c>
      <c r="R5" s="94">
        <v>0.3374999999999998</v>
      </c>
      <c r="S5" s="95">
        <v>0.31944444444444442</v>
      </c>
      <c r="T5" s="95">
        <v>0.34444444444444422</v>
      </c>
      <c r="U5" s="94">
        <v>0.3354166666666667</v>
      </c>
      <c r="V5" s="94">
        <v>0.36041666666666644</v>
      </c>
      <c r="W5" s="95">
        <v>0.3444444444444445</v>
      </c>
      <c r="X5" s="95">
        <v>0.36944444444444424</v>
      </c>
      <c r="Y5" s="94">
        <v>0.29166666666666669</v>
      </c>
      <c r="Z5" s="94">
        <v>0.31666666666666654</v>
      </c>
      <c r="AA5" s="95">
        <v>0.2951388888888889</v>
      </c>
      <c r="AB5" s="95">
        <v>0.32013888888888864</v>
      </c>
      <c r="AC5" s="94"/>
      <c r="AD5" s="94"/>
      <c r="AE5" s="95"/>
      <c r="AF5" s="95"/>
      <c r="AG5" s="94"/>
      <c r="AH5" s="94"/>
      <c r="AI5" s="95"/>
      <c r="AJ5" s="95"/>
      <c r="AK5" s="94"/>
      <c r="AL5" s="94"/>
      <c r="AM5" s="95"/>
      <c r="AN5" s="95"/>
      <c r="AO5" s="94"/>
      <c r="AP5" s="94"/>
      <c r="AQ5" s="95"/>
      <c r="AR5" s="95"/>
      <c r="AS5" s="94"/>
      <c r="AT5" s="94"/>
      <c r="AU5" s="95"/>
      <c r="AV5" s="95"/>
    </row>
    <row r="6" spans="1:48" x14ac:dyDescent="0.3">
      <c r="A6" s="4" t="s">
        <v>11</v>
      </c>
      <c r="B6" s="4"/>
      <c r="C6" s="4"/>
      <c r="D6" s="4"/>
      <c r="E6" s="26" t="s">
        <v>209</v>
      </c>
      <c r="F6" s="23">
        <v>5</v>
      </c>
      <c r="G6" s="20"/>
      <c r="H6" s="50">
        <v>3</v>
      </c>
      <c r="I6" s="96">
        <v>0.3263888888888889</v>
      </c>
      <c r="J6" s="94">
        <v>0.35138888888888864</v>
      </c>
      <c r="K6" s="95">
        <v>0.35347222222222219</v>
      </c>
      <c r="L6" s="95">
        <v>0.37847222222222204</v>
      </c>
      <c r="M6" s="94">
        <v>0.36249999999999999</v>
      </c>
      <c r="N6" s="94">
        <v>0.38749999999999984</v>
      </c>
      <c r="O6" s="95">
        <v>0.30555555555555552</v>
      </c>
      <c r="P6" s="95">
        <v>0.33055555555555538</v>
      </c>
      <c r="Q6" s="94">
        <v>0.38055555555555554</v>
      </c>
      <c r="R6" s="94">
        <v>0.40555555555555545</v>
      </c>
      <c r="S6" s="95">
        <v>0.37916666666666643</v>
      </c>
      <c r="T6" s="95" t="s">
        <v>10</v>
      </c>
      <c r="U6" s="94">
        <v>0.39861111111111114</v>
      </c>
      <c r="V6" s="94">
        <v>0.42361111111111105</v>
      </c>
      <c r="W6" s="95">
        <v>0.40763888888888894</v>
      </c>
      <c r="X6" s="95">
        <v>0.43263888888888885</v>
      </c>
      <c r="Y6" s="94">
        <v>0.35138888888888875</v>
      </c>
      <c r="Z6" s="94" t="s">
        <v>10</v>
      </c>
      <c r="AA6" s="95">
        <v>0.35833333333333334</v>
      </c>
      <c r="AB6" s="95" t="s">
        <v>15</v>
      </c>
      <c r="AC6" s="94"/>
      <c r="AD6" s="94"/>
      <c r="AE6" s="95"/>
      <c r="AF6" s="95"/>
      <c r="AG6" s="94"/>
      <c r="AH6" s="94"/>
      <c r="AI6" s="95"/>
      <c r="AJ6" s="95"/>
      <c r="AK6" s="94"/>
      <c r="AL6" s="94"/>
      <c r="AM6" s="95"/>
      <c r="AN6" s="95"/>
      <c r="AO6" s="94"/>
      <c r="AP6" s="94"/>
      <c r="AQ6" s="95"/>
      <c r="AR6" s="95"/>
      <c r="AS6" s="94"/>
      <c r="AT6" s="94"/>
      <c r="AU6" s="95"/>
      <c r="AV6" s="95"/>
    </row>
    <row r="7" spans="1:48" x14ac:dyDescent="0.3">
      <c r="A7" s="4" t="s">
        <v>12</v>
      </c>
      <c r="B7" s="4"/>
      <c r="C7" s="4"/>
      <c r="D7" s="4"/>
      <c r="E7" s="26" t="s">
        <v>49</v>
      </c>
      <c r="F7" s="24">
        <v>1.5277777777777777E-2</v>
      </c>
      <c r="G7" s="21"/>
      <c r="H7" s="50">
        <v>4</v>
      </c>
      <c r="I7" s="96">
        <v>0.38958333333333334</v>
      </c>
      <c r="J7" s="94">
        <v>0.41458333333333325</v>
      </c>
      <c r="K7" s="95">
        <v>0.41666666666666663</v>
      </c>
      <c r="L7" s="95">
        <v>0.44166666666666665</v>
      </c>
      <c r="M7" s="94">
        <v>0.42569444444444443</v>
      </c>
      <c r="N7" s="94">
        <v>0.45069444444444445</v>
      </c>
      <c r="O7" s="95">
        <v>0.37152777777777773</v>
      </c>
      <c r="P7" s="95">
        <v>0.39652777777777765</v>
      </c>
      <c r="Q7" s="94">
        <v>0.44374999999999998</v>
      </c>
      <c r="R7" s="94">
        <v>0.46875000000000006</v>
      </c>
      <c r="S7" s="95"/>
      <c r="T7" s="95"/>
      <c r="U7" s="94">
        <v>0.46180555555555558</v>
      </c>
      <c r="V7" s="94">
        <v>0.48680555555555566</v>
      </c>
      <c r="W7" s="95">
        <v>0.47083333333333338</v>
      </c>
      <c r="X7" s="95">
        <v>0.49583333333333346</v>
      </c>
      <c r="Y7" s="94"/>
      <c r="Z7" s="94"/>
      <c r="AA7" s="95"/>
      <c r="AB7" s="95"/>
      <c r="AC7" s="94"/>
      <c r="AD7" s="94"/>
      <c r="AE7" s="95"/>
      <c r="AF7" s="95"/>
      <c r="AG7" s="94"/>
      <c r="AH7" s="94"/>
      <c r="AI7" s="95"/>
      <c r="AJ7" s="95"/>
      <c r="AK7" s="94"/>
      <c r="AL7" s="94"/>
      <c r="AM7" s="95"/>
      <c r="AN7" s="95"/>
      <c r="AO7" s="94"/>
      <c r="AP7" s="94"/>
      <c r="AQ7" s="95"/>
      <c r="AR7" s="95"/>
      <c r="AS7" s="94"/>
      <c r="AT7" s="94"/>
      <c r="AU7" s="95"/>
      <c r="AV7" s="95"/>
    </row>
    <row r="8" spans="1:48" x14ac:dyDescent="0.3">
      <c r="A8" s="4" t="s">
        <v>13</v>
      </c>
      <c r="B8" s="4"/>
      <c r="C8" s="4"/>
      <c r="D8" s="4"/>
      <c r="E8" s="26" t="s">
        <v>49</v>
      </c>
      <c r="F8" s="24">
        <v>1.5277777777777777E-2</v>
      </c>
      <c r="G8" s="21"/>
      <c r="H8" s="50">
        <v>5</v>
      </c>
      <c r="I8" s="96">
        <v>0.45277777777777778</v>
      </c>
      <c r="J8" s="94">
        <v>0.47777777777777786</v>
      </c>
      <c r="K8" s="95">
        <v>0.47986111111111107</v>
      </c>
      <c r="L8" s="95">
        <v>0.5048611111111112</v>
      </c>
      <c r="M8" s="94">
        <v>0.48888888888888887</v>
      </c>
      <c r="N8" s="94">
        <v>0.51388888888888906</v>
      </c>
      <c r="O8" s="95">
        <v>0.43472222222222218</v>
      </c>
      <c r="P8" s="95">
        <v>0.45972222222222225</v>
      </c>
      <c r="Q8" s="94">
        <v>0.50694444444444442</v>
      </c>
      <c r="R8" s="94">
        <v>0.53194444444444466</v>
      </c>
      <c r="S8" s="95">
        <v>0.57916666666666672</v>
      </c>
      <c r="T8" s="95">
        <v>0.60416666666666663</v>
      </c>
      <c r="U8" s="94">
        <v>0.52500000000000002</v>
      </c>
      <c r="V8" s="94">
        <v>0.55000000000000016</v>
      </c>
      <c r="W8" s="95">
        <v>0.53402777777777777</v>
      </c>
      <c r="X8" s="95">
        <v>0.5590277777777779</v>
      </c>
      <c r="Y8" s="94">
        <v>0.49791666666666662</v>
      </c>
      <c r="Z8" s="94">
        <v>0.52291666666666681</v>
      </c>
      <c r="AA8" s="95"/>
      <c r="AB8" s="95"/>
      <c r="AC8" s="94"/>
      <c r="AD8" s="94"/>
      <c r="AE8" s="95"/>
      <c r="AF8" s="95"/>
      <c r="AG8" s="94"/>
      <c r="AH8" s="94"/>
      <c r="AI8" s="95"/>
      <c r="AJ8" s="95"/>
      <c r="AK8" s="94"/>
      <c r="AL8" s="94"/>
      <c r="AM8" s="95"/>
      <c r="AN8" s="95"/>
      <c r="AO8" s="94"/>
      <c r="AP8" s="94"/>
      <c r="AQ8" s="95"/>
      <c r="AR8" s="95"/>
      <c r="AS8" s="94"/>
      <c r="AT8" s="94"/>
      <c r="AU8" s="95"/>
      <c r="AV8" s="95"/>
    </row>
    <row r="9" spans="1:48" x14ac:dyDescent="0.3">
      <c r="A9" s="4" t="s">
        <v>14</v>
      </c>
      <c r="B9" s="4"/>
      <c r="C9" s="4"/>
      <c r="D9" s="4"/>
      <c r="E9" s="26" t="s">
        <v>47</v>
      </c>
      <c r="F9" s="23">
        <v>51</v>
      </c>
      <c r="G9" s="20"/>
      <c r="H9" s="50">
        <v>6</v>
      </c>
      <c r="I9" s="96">
        <v>0.51597222222222228</v>
      </c>
      <c r="J9" s="94">
        <v>0.54097222222222241</v>
      </c>
      <c r="K9" s="95">
        <v>0.54305555555555551</v>
      </c>
      <c r="L9" s="95">
        <v>0.56805555555555565</v>
      </c>
      <c r="M9" s="94">
        <v>0.55208333333333326</v>
      </c>
      <c r="N9" s="94">
        <v>0.57708333333333339</v>
      </c>
      <c r="O9" s="95">
        <v>0.49444444444444446</v>
      </c>
      <c r="P9" s="95" t="s">
        <v>10</v>
      </c>
      <c r="Q9" s="94">
        <v>0.57013888888888886</v>
      </c>
      <c r="R9" s="94">
        <v>0.59513888888888888</v>
      </c>
      <c r="S9" s="95">
        <v>0.65763888888888888</v>
      </c>
      <c r="T9" s="95">
        <v>0.69097222222222188</v>
      </c>
      <c r="U9" s="94">
        <v>0.58819444444444446</v>
      </c>
      <c r="V9" s="94">
        <v>0.61319444444444438</v>
      </c>
      <c r="W9" s="95">
        <v>0.59722222222222221</v>
      </c>
      <c r="X9" s="95">
        <v>0.62222222222222212</v>
      </c>
      <c r="Y9" s="94">
        <v>0.56111111111111112</v>
      </c>
      <c r="Z9" s="94">
        <v>0.58611111111111114</v>
      </c>
      <c r="AA9" s="95"/>
      <c r="AB9" s="95"/>
      <c r="AC9" s="94"/>
      <c r="AD9" s="94"/>
      <c r="AE9" s="95"/>
      <c r="AF9" s="95"/>
      <c r="AG9" s="94"/>
      <c r="AH9" s="94"/>
      <c r="AI9" s="95"/>
      <c r="AJ9" s="95"/>
      <c r="AK9" s="94"/>
      <c r="AL9" s="94"/>
      <c r="AM9" s="95"/>
      <c r="AN9" s="95"/>
      <c r="AO9" s="94"/>
      <c r="AP9" s="94"/>
      <c r="AQ9" s="95"/>
      <c r="AR9" s="95"/>
      <c r="AS9" s="94"/>
      <c r="AT9" s="94"/>
      <c r="AU9" s="95"/>
      <c r="AV9" s="95"/>
    </row>
    <row r="10" spans="1:48" x14ac:dyDescent="0.3">
      <c r="A10" s="4" t="s">
        <v>46</v>
      </c>
      <c r="B10" s="4"/>
      <c r="C10" s="4"/>
      <c r="D10" s="4"/>
      <c r="E10" s="26" t="s">
        <v>48</v>
      </c>
      <c r="F10" s="23" t="s">
        <v>50</v>
      </c>
      <c r="G10" s="20"/>
      <c r="H10" s="50">
        <v>7</v>
      </c>
      <c r="I10" s="96">
        <v>0.57569444444444462</v>
      </c>
      <c r="J10" s="94" t="s">
        <v>10</v>
      </c>
      <c r="K10" s="95">
        <v>0.60624999999999996</v>
      </c>
      <c r="L10" s="95">
        <v>0.63124999999999987</v>
      </c>
      <c r="M10" s="94">
        <v>0.6152777777777777</v>
      </c>
      <c r="N10" s="94">
        <v>0.64027777777777761</v>
      </c>
      <c r="O10" s="95"/>
      <c r="P10" s="95"/>
      <c r="Q10" s="94">
        <v>0.64097222222222217</v>
      </c>
      <c r="R10" s="94">
        <v>0.66736111111111085</v>
      </c>
      <c r="S10" s="95">
        <v>0.73263888888888884</v>
      </c>
      <c r="T10" s="95">
        <v>0.76319444444444384</v>
      </c>
      <c r="U10" s="94">
        <v>0.66597222222222219</v>
      </c>
      <c r="V10" s="94">
        <v>0.69930555555555518</v>
      </c>
      <c r="W10" s="95">
        <v>0.6743055555555556</v>
      </c>
      <c r="X10" s="95">
        <v>0.70763888888888848</v>
      </c>
      <c r="Y10" s="94">
        <v>0.62430555555555556</v>
      </c>
      <c r="Z10" s="94">
        <v>0.64930555555555536</v>
      </c>
      <c r="AA10" s="95"/>
      <c r="AB10" s="95"/>
      <c r="AC10" s="94"/>
      <c r="AD10" s="94"/>
      <c r="AE10" s="95"/>
      <c r="AF10" s="95"/>
      <c r="AG10" s="94"/>
      <c r="AH10" s="94"/>
      <c r="AI10" s="95"/>
      <c r="AJ10" s="95"/>
      <c r="AK10" s="94"/>
      <c r="AL10" s="94"/>
      <c r="AM10" s="95"/>
      <c r="AN10" s="95"/>
      <c r="AO10" s="94"/>
      <c r="AP10" s="94"/>
      <c r="AQ10" s="95"/>
      <c r="AR10" s="95"/>
      <c r="AS10" s="94"/>
      <c r="AT10" s="94"/>
      <c r="AU10" s="95"/>
      <c r="AV10" s="95"/>
    </row>
    <row r="11" spans="1:48" x14ac:dyDescent="0.3">
      <c r="A11" s="4" t="s">
        <v>211</v>
      </c>
      <c r="B11" s="4"/>
      <c r="C11" s="4"/>
      <c r="D11" s="4"/>
      <c r="E11" s="26"/>
      <c r="F11" s="23">
        <v>1</v>
      </c>
      <c r="G11" s="20"/>
      <c r="H11" s="50">
        <v>8</v>
      </c>
      <c r="I11" s="96"/>
      <c r="J11" s="94"/>
      <c r="K11" s="95">
        <v>0.68263888888888891</v>
      </c>
      <c r="L11" s="95">
        <v>0.71597222222222179</v>
      </c>
      <c r="M11" s="94">
        <v>0.69097222222222221</v>
      </c>
      <c r="N11" s="94">
        <v>0.72430555555555509</v>
      </c>
      <c r="O11" s="95">
        <v>0.63263888888888886</v>
      </c>
      <c r="P11" s="95">
        <v>0.65763888888888866</v>
      </c>
      <c r="Q11" s="94">
        <v>0.71597222222222212</v>
      </c>
      <c r="R11" s="94">
        <v>0.749305555555555</v>
      </c>
      <c r="S11" s="95">
        <v>0.79444444444444384</v>
      </c>
      <c r="T11" s="95" t="s">
        <v>15</v>
      </c>
      <c r="U11" s="94">
        <v>0.74097222222222214</v>
      </c>
      <c r="V11" s="94">
        <v>0.76874999999999938</v>
      </c>
      <c r="W11" s="95">
        <v>0.74930555555555556</v>
      </c>
      <c r="X11" s="95">
        <v>0.7756944444444438</v>
      </c>
      <c r="Y11" s="94">
        <v>0.69930555555555551</v>
      </c>
      <c r="Z11" s="94">
        <v>0.7326388888888884</v>
      </c>
      <c r="AA11" s="95"/>
      <c r="AB11" s="95"/>
      <c r="AC11" s="94"/>
      <c r="AD11" s="94"/>
      <c r="AE11" s="95"/>
      <c r="AF11" s="95"/>
      <c r="AG11" s="94"/>
      <c r="AH11" s="94"/>
      <c r="AI11" s="95"/>
      <c r="AJ11" s="95"/>
      <c r="AK11" s="94"/>
      <c r="AL11" s="94"/>
      <c r="AM11" s="95"/>
      <c r="AN11" s="95"/>
      <c r="AO11" s="94"/>
      <c r="AP11" s="94"/>
      <c r="AQ11" s="95"/>
      <c r="AR11" s="95"/>
      <c r="AS11" s="94"/>
      <c r="AT11" s="94"/>
      <c r="AU11" s="95"/>
      <c r="AV11" s="95"/>
    </row>
    <row r="12" spans="1:48" x14ac:dyDescent="0.3">
      <c r="A12" s="4"/>
      <c r="B12" s="4"/>
      <c r="C12" s="4"/>
      <c r="D12" s="4"/>
      <c r="E12" s="4"/>
      <c r="F12" s="23"/>
      <c r="G12" s="20"/>
      <c r="H12" s="50">
        <v>9</v>
      </c>
      <c r="I12" s="96">
        <v>0.64930555555555558</v>
      </c>
      <c r="J12" s="94">
        <v>0.67847222222222192</v>
      </c>
      <c r="K12" s="95">
        <v>0.7597222222222223</v>
      </c>
      <c r="L12" s="95">
        <v>0.78472222222222154</v>
      </c>
      <c r="M12" s="94">
        <v>0.77083333333333337</v>
      </c>
      <c r="N12" s="94">
        <v>0.79583333333333262</v>
      </c>
      <c r="O12" s="95">
        <v>0.70763888888888882</v>
      </c>
      <c r="P12" s="95">
        <v>0.7409722222222217</v>
      </c>
      <c r="Q12" s="94">
        <v>0.79305555555555562</v>
      </c>
      <c r="R12" s="94">
        <v>0.81805555555555476</v>
      </c>
      <c r="S12" s="95"/>
      <c r="T12" s="95"/>
      <c r="U12" s="94">
        <v>0.79999999999999938</v>
      </c>
      <c r="V12" s="94" t="s">
        <v>15</v>
      </c>
      <c r="W12" s="95">
        <v>0.8069444444444438</v>
      </c>
      <c r="X12" s="95" t="s">
        <v>15</v>
      </c>
      <c r="Y12" s="94">
        <v>0.7638888888888884</v>
      </c>
      <c r="Z12" s="94" t="s">
        <v>15</v>
      </c>
      <c r="AA12" s="95"/>
      <c r="AB12" s="95"/>
      <c r="AC12" s="94"/>
      <c r="AD12" s="94"/>
      <c r="AE12" s="95"/>
      <c r="AF12" s="95"/>
      <c r="AG12" s="94"/>
      <c r="AH12" s="94"/>
      <c r="AI12" s="95"/>
      <c r="AJ12" s="95"/>
      <c r="AK12" s="94"/>
      <c r="AL12" s="94"/>
      <c r="AM12" s="95"/>
      <c r="AN12" s="95"/>
      <c r="AO12" s="94"/>
      <c r="AP12" s="94"/>
      <c r="AQ12" s="95"/>
      <c r="AR12" s="95"/>
      <c r="AS12" s="94"/>
      <c r="AT12" s="94"/>
      <c r="AU12" s="95"/>
      <c r="AV12" s="95"/>
    </row>
    <row r="13" spans="1:48" x14ac:dyDescent="0.3">
      <c r="A13" s="4"/>
      <c r="B13" s="4"/>
      <c r="C13" s="4"/>
      <c r="D13" s="4"/>
      <c r="E13" s="4"/>
      <c r="F13" s="23"/>
      <c r="G13" s="20"/>
      <c r="H13" s="50">
        <v>10</v>
      </c>
      <c r="I13" s="96">
        <v>0.72430555555555554</v>
      </c>
      <c r="J13" s="94">
        <v>0.75763888888888831</v>
      </c>
      <c r="K13" s="95">
        <v>0.81527777777777788</v>
      </c>
      <c r="L13" s="95">
        <v>0.8402777777777769</v>
      </c>
      <c r="M13" s="94">
        <v>0.82638888888888895</v>
      </c>
      <c r="N13" s="94">
        <v>0.85069444444444353</v>
      </c>
      <c r="O13" s="95">
        <v>0.78194444444444444</v>
      </c>
      <c r="P13" s="95">
        <v>0.80694444444444369</v>
      </c>
      <c r="Q13" s="94">
        <v>0.84930555555555476</v>
      </c>
      <c r="R13" s="94" t="s">
        <v>15</v>
      </c>
      <c r="S13" s="95"/>
      <c r="T13" s="95"/>
      <c r="U13" s="94"/>
      <c r="V13" s="94"/>
      <c r="W13" s="95"/>
      <c r="X13" s="95"/>
      <c r="Y13" s="94"/>
      <c r="Z13" s="94"/>
      <c r="AA13" s="95"/>
      <c r="AB13" s="95"/>
      <c r="AC13" s="94"/>
      <c r="AD13" s="94"/>
      <c r="AE13" s="95"/>
      <c r="AF13" s="95"/>
      <c r="AG13" s="94"/>
      <c r="AH13" s="94"/>
      <c r="AI13" s="95"/>
      <c r="AJ13" s="95"/>
      <c r="AK13" s="94"/>
      <c r="AL13" s="94"/>
      <c r="AM13" s="95"/>
      <c r="AN13" s="95"/>
      <c r="AO13" s="94"/>
      <c r="AP13" s="94"/>
      <c r="AQ13" s="95"/>
      <c r="AR13" s="95"/>
      <c r="AS13" s="94"/>
      <c r="AT13" s="94"/>
      <c r="AU13" s="95"/>
      <c r="AV13" s="95"/>
    </row>
    <row r="14" spans="1:48" x14ac:dyDescent="0.3">
      <c r="A14" s="4"/>
      <c r="B14" s="4"/>
      <c r="C14" s="4"/>
      <c r="D14" s="4"/>
      <c r="E14" s="4"/>
      <c r="F14" s="23"/>
      <c r="G14" s="20"/>
      <c r="H14" s="50">
        <v>11</v>
      </c>
      <c r="I14" s="96">
        <v>0.8041666666666667</v>
      </c>
      <c r="J14" s="94">
        <v>0.82916666666666583</v>
      </c>
      <c r="K14" s="95">
        <v>0.87847222222222221</v>
      </c>
      <c r="L14" s="95">
        <v>0.90277777777777701</v>
      </c>
      <c r="M14" s="94">
        <v>0.88194444444444353</v>
      </c>
      <c r="N14" s="94" t="s">
        <v>15</v>
      </c>
      <c r="O14" s="95">
        <v>0.84375</v>
      </c>
      <c r="P14" s="95">
        <v>0.86805555555555469</v>
      </c>
      <c r="Q14" s="94"/>
      <c r="R14" s="94"/>
      <c r="S14" s="95"/>
      <c r="T14" s="95"/>
      <c r="U14" s="94"/>
      <c r="V14" s="94"/>
      <c r="W14" s="95"/>
      <c r="X14" s="95"/>
      <c r="Y14" s="94"/>
      <c r="Z14" s="94"/>
      <c r="AA14" s="95"/>
      <c r="AB14" s="95"/>
      <c r="AC14" s="94"/>
      <c r="AD14" s="94"/>
      <c r="AE14" s="95"/>
      <c r="AF14" s="95"/>
      <c r="AG14" s="94"/>
      <c r="AH14" s="94"/>
      <c r="AI14" s="95"/>
      <c r="AJ14" s="95"/>
      <c r="AK14" s="94"/>
      <c r="AL14" s="94"/>
      <c r="AM14" s="95"/>
      <c r="AN14" s="95"/>
      <c r="AO14" s="94"/>
      <c r="AP14" s="94"/>
      <c r="AQ14" s="95"/>
      <c r="AR14" s="95"/>
      <c r="AS14" s="94"/>
      <c r="AT14" s="94"/>
      <c r="AU14" s="95"/>
      <c r="AV14" s="95"/>
    </row>
    <row r="15" spans="1:48" x14ac:dyDescent="0.3">
      <c r="A15" s="4"/>
      <c r="B15" s="4"/>
      <c r="C15" s="4"/>
      <c r="D15" s="4"/>
      <c r="E15" s="4"/>
      <c r="F15" s="23"/>
      <c r="G15" s="20"/>
      <c r="H15" s="50">
        <v>12</v>
      </c>
      <c r="I15" s="96">
        <v>0.86111111111111116</v>
      </c>
      <c r="J15" s="94">
        <v>0.88541666666666585</v>
      </c>
      <c r="K15" s="95">
        <v>0.9375</v>
      </c>
      <c r="L15" s="95">
        <v>0.96180555555555491</v>
      </c>
      <c r="M15" s="94"/>
      <c r="N15" s="94"/>
      <c r="O15" s="95">
        <v>0.89583333333333337</v>
      </c>
      <c r="P15" s="95">
        <v>0.92013888888888817</v>
      </c>
      <c r="Q15" s="94"/>
      <c r="R15" s="94"/>
      <c r="S15" s="95"/>
      <c r="T15" s="95"/>
      <c r="U15" s="94"/>
      <c r="V15" s="94"/>
      <c r="W15" s="95"/>
      <c r="X15" s="95"/>
      <c r="Y15" s="94"/>
      <c r="Z15" s="94"/>
      <c r="AA15" s="95"/>
      <c r="AB15" s="95"/>
      <c r="AC15" s="94"/>
      <c r="AD15" s="94"/>
      <c r="AE15" s="95"/>
      <c r="AF15" s="95"/>
      <c r="AG15" s="94"/>
      <c r="AH15" s="94"/>
      <c r="AI15" s="95"/>
      <c r="AJ15" s="95"/>
      <c r="AK15" s="94"/>
      <c r="AL15" s="94"/>
      <c r="AM15" s="95"/>
      <c r="AN15" s="95"/>
      <c r="AO15" s="94"/>
      <c r="AP15" s="94"/>
      <c r="AQ15" s="95"/>
      <c r="AR15" s="95"/>
      <c r="AS15" s="94"/>
      <c r="AT15" s="94"/>
      <c r="AU15" s="95"/>
      <c r="AV15" s="95"/>
    </row>
    <row r="16" spans="1:48" x14ac:dyDescent="0.3">
      <c r="A16" s="4"/>
      <c r="B16" s="4"/>
      <c r="C16" s="4"/>
      <c r="D16" s="4"/>
      <c r="E16" s="4"/>
      <c r="F16" s="23"/>
      <c r="G16" s="20"/>
      <c r="H16" s="50">
        <v>13</v>
      </c>
      <c r="I16" s="96">
        <v>0.91666666666666674</v>
      </c>
      <c r="J16" s="94">
        <v>0.94097222222222154</v>
      </c>
      <c r="K16" s="95">
        <v>0.98611111111111049</v>
      </c>
      <c r="L16" s="95" t="s">
        <v>15</v>
      </c>
      <c r="M16" s="94"/>
      <c r="N16" s="94"/>
      <c r="O16" s="95">
        <v>0.95833333333333337</v>
      </c>
      <c r="P16" s="95">
        <v>0.98263888888888828</v>
      </c>
      <c r="Q16" s="94"/>
      <c r="R16" s="94"/>
      <c r="S16" s="95"/>
      <c r="T16" s="95"/>
      <c r="U16" s="94"/>
      <c r="V16" s="94"/>
      <c r="W16" s="95"/>
      <c r="X16" s="95"/>
      <c r="Y16" s="94"/>
      <c r="Z16" s="94"/>
      <c r="AA16" s="95"/>
      <c r="AB16" s="95"/>
      <c r="AC16" s="94"/>
      <c r="AD16" s="94"/>
      <c r="AE16" s="95"/>
      <c r="AF16" s="95"/>
      <c r="AG16" s="94"/>
      <c r="AH16" s="94"/>
      <c r="AI16" s="95"/>
      <c r="AJ16" s="95"/>
      <c r="AK16" s="94"/>
      <c r="AL16" s="94"/>
      <c r="AM16" s="95"/>
      <c r="AN16" s="95"/>
      <c r="AO16" s="94"/>
      <c r="AP16" s="94"/>
      <c r="AQ16" s="95"/>
      <c r="AR16" s="95"/>
      <c r="AS16" s="94"/>
      <c r="AT16" s="94"/>
      <c r="AU16" s="95"/>
      <c r="AV16" s="95"/>
    </row>
    <row r="17" spans="1:48" x14ac:dyDescent="0.3">
      <c r="A17" s="4"/>
      <c r="B17" s="4"/>
      <c r="C17" s="4"/>
      <c r="D17" s="4"/>
      <c r="E17" s="4"/>
      <c r="F17" s="23"/>
      <c r="G17" s="20"/>
      <c r="H17" s="50">
        <v>14</v>
      </c>
      <c r="I17" s="96">
        <v>0.96527777777777712</v>
      </c>
      <c r="J17" s="94" t="s">
        <v>15</v>
      </c>
      <c r="K17" s="95"/>
      <c r="L17" s="95"/>
      <c r="M17" s="94"/>
      <c r="N17" s="94"/>
      <c r="O17" s="95">
        <v>1.0069444444444438</v>
      </c>
      <c r="P17" s="95" t="s">
        <v>15</v>
      </c>
      <c r="Q17" s="94"/>
      <c r="R17" s="94"/>
      <c r="S17" s="95"/>
      <c r="T17" s="95"/>
      <c r="U17" s="94"/>
      <c r="V17" s="94"/>
      <c r="W17" s="95"/>
      <c r="X17" s="95"/>
      <c r="Y17" s="94"/>
      <c r="Z17" s="94"/>
      <c r="AA17" s="95"/>
      <c r="AB17" s="95"/>
      <c r="AC17" s="94"/>
      <c r="AD17" s="94"/>
      <c r="AE17" s="95"/>
      <c r="AF17" s="95"/>
      <c r="AG17" s="94"/>
      <c r="AH17" s="94"/>
      <c r="AI17" s="95"/>
      <c r="AJ17" s="95"/>
      <c r="AK17" s="94"/>
      <c r="AL17" s="94"/>
      <c r="AM17" s="95"/>
      <c r="AN17" s="95"/>
      <c r="AO17" s="94"/>
      <c r="AP17" s="94"/>
      <c r="AQ17" s="95"/>
      <c r="AR17" s="95"/>
      <c r="AS17" s="94"/>
      <c r="AT17" s="94"/>
      <c r="AU17" s="95"/>
      <c r="AV17" s="95"/>
    </row>
    <row r="18" spans="1:48" x14ac:dyDescent="0.3">
      <c r="A18" s="1" t="s">
        <v>214</v>
      </c>
      <c r="B18" s="1"/>
      <c r="C18" s="1"/>
      <c r="D18" s="1"/>
      <c r="E18" s="1"/>
      <c r="F18" s="22"/>
      <c r="G18" s="19"/>
      <c r="H18" s="50">
        <v>15</v>
      </c>
      <c r="I18" s="96"/>
      <c r="J18" s="94"/>
      <c r="K18" s="95"/>
      <c r="L18" s="95"/>
      <c r="M18" s="94"/>
      <c r="N18" s="94"/>
      <c r="O18" s="95"/>
      <c r="P18" s="95"/>
      <c r="Q18" s="94"/>
      <c r="R18" s="94"/>
      <c r="S18" s="95"/>
      <c r="T18" s="95"/>
      <c r="U18" s="94"/>
      <c r="V18" s="94"/>
      <c r="W18" s="95"/>
      <c r="X18" s="95"/>
      <c r="Y18" s="94"/>
      <c r="Z18" s="94"/>
      <c r="AA18" s="95"/>
      <c r="AB18" s="95"/>
      <c r="AC18" s="94"/>
      <c r="AD18" s="94"/>
      <c r="AE18" s="95"/>
      <c r="AF18" s="95"/>
      <c r="AG18" s="94"/>
      <c r="AH18" s="94"/>
      <c r="AI18" s="95"/>
      <c r="AJ18" s="95"/>
      <c r="AK18" s="94"/>
      <c r="AL18" s="94"/>
      <c r="AM18" s="95"/>
      <c r="AN18" s="95"/>
      <c r="AO18" s="94"/>
      <c r="AP18" s="94"/>
      <c r="AQ18" s="95"/>
      <c r="AR18" s="95"/>
      <c r="AS18" s="94"/>
      <c r="AT18" s="94"/>
      <c r="AU18" s="95"/>
      <c r="AV18" s="95"/>
    </row>
    <row r="19" spans="1:48" x14ac:dyDescent="0.3">
      <c r="A19" s="77" t="s">
        <v>215</v>
      </c>
      <c r="B19" s="77" t="s">
        <v>35</v>
      </c>
      <c r="C19" s="78"/>
      <c r="D19" s="77" t="s">
        <v>216</v>
      </c>
      <c r="E19" s="79" t="s">
        <v>217</v>
      </c>
      <c r="F19" s="80"/>
      <c r="G19" s="81"/>
      <c r="H19" s="50">
        <v>16</v>
      </c>
      <c r="I19" s="96"/>
      <c r="J19" s="94"/>
      <c r="K19" s="95"/>
      <c r="L19" s="95"/>
      <c r="M19" s="94"/>
      <c r="N19" s="94"/>
      <c r="O19" s="95"/>
      <c r="P19" s="95"/>
      <c r="Q19" s="94"/>
      <c r="R19" s="94"/>
      <c r="S19" s="95"/>
      <c r="T19" s="95"/>
      <c r="U19" s="94"/>
      <c r="V19" s="94"/>
      <c r="W19" s="95"/>
      <c r="X19" s="95"/>
      <c r="Y19" s="94"/>
      <c r="Z19" s="94"/>
      <c r="AA19" s="95"/>
      <c r="AB19" s="95"/>
      <c r="AC19" s="94"/>
      <c r="AD19" s="94"/>
      <c r="AE19" s="95"/>
      <c r="AF19" s="95"/>
      <c r="AG19" s="94"/>
      <c r="AH19" s="94"/>
      <c r="AI19" s="95"/>
      <c r="AJ19" s="95"/>
      <c r="AK19" s="94"/>
      <c r="AL19" s="94"/>
      <c r="AM19" s="95"/>
      <c r="AN19" s="95"/>
      <c r="AO19" s="94"/>
      <c r="AP19" s="94"/>
      <c r="AQ19" s="95"/>
      <c r="AR19" s="95"/>
      <c r="AS19" s="94"/>
      <c r="AT19" s="94"/>
      <c r="AU19" s="95"/>
      <c r="AV19" s="95"/>
    </row>
    <row r="20" spans="1:48" x14ac:dyDescent="0.3">
      <c r="A20" s="82">
        <v>1</v>
      </c>
      <c r="B20" s="4" t="s">
        <v>221</v>
      </c>
      <c r="C20" s="4"/>
      <c r="D20" s="75">
        <v>2</v>
      </c>
      <c r="E20" s="76" t="s">
        <v>218</v>
      </c>
      <c r="F20" s="23"/>
      <c r="G20" s="20"/>
      <c r="H20" s="50">
        <v>17</v>
      </c>
      <c r="I20" s="96"/>
      <c r="J20" s="94"/>
      <c r="K20" s="95"/>
      <c r="L20" s="95"/>
      <c r="M20" s="94"/>
      <c r="N20" s="94"/>
      <c r="O20" s="95"/>
      <c r="P20" s="95"/>
      <c r="Q20" s="94"/>
      <c r="R20" s="94"/>
      <c r="S20" s="95"/>
      <c r="T20" s="95"/>
      <c r="U20" s="94"/>
      <c r="V20" s="94"/>
      <c r="W20" s="95"/>
      <c r="X20" s="95"/>
      <c r="Y20" s="94"/>
      <c r="Z20" s="94"/>
      <c r="AA20" s="95"/>
      <c r="AB20" s="95"/>
      <c r="AC20" s="94"/>
      <c r="AD20" s="94"/>
      <c r="AE20" s="95"/>
      <c r="AF20" s="95"/>
      <c r="AG20" s="94"/>
      <c r="AH20" s="94"/>
      <c r="AI20" s="95"/>
      <c r="AJ20" s="95"/>
      <c r="AK20" s="94"/>
      <c r="AL20" s="94"/>
      <c r="AM20" s="95"/>
      <c r="AN20" s="95"/>
      <c r="AO20" s="94"/>
      <c r="AP20" s="94"/>
      <c r="AQ20" s="95"/>
      <c r="AR20" s="95"/>
      <c r="AS20" s="94"/>
      <c r="AT20" s="94"/>
      <c r="AU20" s="95"/>
      <c r="AV20" s="95"/>
    </row>
    <row r="21" spans="1:48" x14ac:dyDescent="0.3">
      <c r="A21" s="82">
        <v>2</v>
      </c>
      <c r="B21" s="4" t="s">
        <v>222</v>
      </c>
      <c r="C21" s="4"/>
      <c r="D21" s="75">
        <v>3</v>
      </c>
      <c r="E21" s="76" t="s">
        <v>219</v>
      </c>
      <c r="F21" s="23"/>
      <c r="G21" s="20"/>
      <c r="H21" s="50">
        <v>18</v>
      </c>
      <c r="I21" s="96"/>
      <c r="J21" s="94"/>
      <c r="K21" s="95"/>
      <c r="L21" s="95"/>
      <c r="M21" s="94"/>
      <c r="N21" s="94"/>
      <c r="O21" s="95"/>
      <c r="P21" s="95"/>
      <c r="Q21" s="94"/>
      <c r="R21" s="94"/>
      <c r="S21" s="95"/>
      <c r="T21" s="95"/>
      <c r="U21" s="94"/>
      <c r="V21" s="94"/>
      <c r="W21" s="95"/>
      <c r="X21" s="95"/>
      <c r="Y21" s="94"/>
      <c r="Z21" s="94"/>
      <c r="AA21" s="95"/>
      <c r="AB21" s="95"/>
      <c r="AC21" s="94"/>
      <c r="AD21" s="94"/>
      <c r="AE21" s="95"/>
      <c r="AF21" s="95"/>
      <c r="AG21" s="94"/>
      <c r="AH21" s="94"/>
      <c r="AI21" s="95"/>
      <c r="AJ21" s="95"/>
      <c r="AK21" s="94"/>
      <c r="AL21" s="94"/>
      <c r="AM21" s="95"/>
      <c r="AN21" s="95"/>
      <c r="AO21" s="94"/>
      <c r="AP21" s="94"/>
      <c r="AQ21" s="95"/>
      <c r="AR21" s="95"/>
      <c r="AS21" s="94"/>
      <c r="AT21" s="94"/>
      <c r="AU21" s="95"/>
      <c r="AV21" s="95"/>
    </row>
    <row r="22" spans="1:48" x14ac:dyDescent="0.3">
      <c r="A22" s="82">
        <v>3</v>
      </c>
      <c r="B22" s="4" t="s">
        <v>223</v>
      </c>
      <c r="C22" s="4"/>
      <c r="D22" s="75">
        <v>4</v>
      </c>
      <c r="E22" s="76" t="s">
        <v>220</v>
      </c>
      <c r="F22" s="23"/>
      <c r="G22" s="20"/>
      <c r="H22" s="50">
        <v>19</v>
      </c>
      <c r="I22" s="96"/>
      <c r="J22" s="94"/>
      <c r="K22" s="95"/>
      <c r="L22" s="95"/>
      <c r="M22" s="94"/>
      <c r="N22" s="94"/>
      <c r="O22" s="95"/>
      <c r="P22" s="95"/>
      <c r="Q22" s="94"/>
      <c r="R22" s="94"/>
      <c r="S22" s="95"/>
      <c r="T22" s="95"/>
      <c r="U22" s="94"/>
      <c r="V22" s="94"/>
      <c r="W22" s="95"/>
      <c r="X22" s="95"/>
      <c r="Y22" s="94"/>
      <c r="Z22" s="94"/>
      <c r="AA22" s="95"/>
      <c r="AB22" s="95"/>
      <c r="AC22" s="94"/>
      <c r="AD22" s="94"/>
      <c r="AE22" s="95"/>
      <c r="AF22" s="95"/>
      <c r="AG22" s="94"/>
      <c r="AH22" s="94"/>
      <c r="AI22" s="95"/>
      <c r="AJ22" s="95"/>
      <c r="AK22" s="94"/>
      <c r="AL22" s="94"/>
      <c r="AM22" s="95"/>
      <c r="AN22" s="95"/>
      <c r="AO22" s="94"/>
      <c r="AP22" s="94"/>
      <c r="AQ22" s="95"/>
      <c r="AR22" s="95"/>
      <c r="AS22" s="94"/>
      <c r="AT22" s="94"/>
      <c r="AU22" s="95"/>
      <c r="AV22" s="95"/>
    </row>
    <row r="23" spans="1:48" x14ac:dyDescent="0.3">
      <c r="A23" s="82"/>
      <c r="B23" s="4"/>
      <c r="C23" s="4"/>
      <c r="D23" s="75"/>
      <c r="E23" s="76"/>
      <c r="F23" s="23"/>
      <c r="G23" s="20"/>
      <c r="H23" s="50">
        <v>20</v>
      </c>
      <c r="I23" s="96"/>
      <c r="J23" s="94"/>
      <c r="K23" s="95"/>
      <c r="L23" s="95"/>
      <c r="M23" s="94"/>
      <c r="N23" s="94"/>
      <c r="O23" s="95"/>
      <c r="P23" s="95"/>
      <c r="Q23" s="94"/>
      <c r="R23" s="94"/>
      <c r="S23" s="95"/>
      <c r="T23" s="95"/>
      <c r="U23" s="94"/>
      <c r="V23" s="94"/>
      <c r="W23" s="95"/>
      <c r="X23" s="95"/>
      <c r="Y23" s="94"/>
      <c r="Z23" s="94"/>
      <c r="AA23" s="95"/>
      <c r="AB23" s="95"/>
      <c r="AC23" s="94"/>
      <c r="AD23" s="94"/>
      <c r="AE23" s="95"/>
      <c r="AF23" s="95"/>
      <c r="AG23" s="94"/>
      <c r="AH23" s="94"/>
      <c r="AI23" s="95"/>
      <c r="AJ23" s="95"/>
      <c r="AK23" s="94"/>
      <c r="AL23" s="94"/>
      <c r="AM23" s="95"/>
      <c r="AN23" s="95"/>
      <c r="AO23" s="94"/>
      <c r="AP23" s="94"/>
      <c r="AQ23" s="95"/>
      <c r="AR23" s="95"/>
      <c r="AS23" s="94"/>
      <c r="AT23" s="94"/>
      <c r="AU23" s="95"/>
      <c r="AV23" s="95"/>
    </row>
    <row r="24" spans="1:48" x14ac:dyDescent="0.3">
      <c r="A24" s="82"/>
      <c r="B24" s="4"/>
      <c r="C24" s="4"/>
      <c r="D24" s="75"/>
      <c r="E24" s="76"/>
      <c r="F24" s="23"/>
      <c r="G24" s="20"/>
      <c r="H24" s="50">
        <v>21</v>
      </c>
      <c r="I24" s="96"/>
      <c r="J24" s="94"/>
      <c r="K24" s="95"/>
      <c r="L24" s="95"/>
      <c r="M24" s="94"/>
      <c r="N24" s="94"/>
      <c r="O24" s="95"/>
      <c r="P24" s="95"/>
      <c r="Q24" s="94"/>
      <c r="R24" s="94"/>
      <c r="S24" s="95"/>
      <c r="T24" s="95"/>
      <c r="U24" s="94"/>
      <c r="V24" s="94"/>
      <c r="W24" s="95"/>
      <c r="X24" s="95"/>
      <c r="Y24" s="94"/>
      <c r="Z24" s="94"/>
      <c r="AA24" s="95"/>
      <c r="AB24" s="95"/>
      <c r="AC24" s="94"/>
      <c r="AD24" s="94"/>
      <c r="AE24" s="95"/>
      <c r="AF24" s="95"/>
      <c r="AG24" s="94"/>
      <c r="AH24" s="94"/>
      <c r="AI24" s="95"/>
      <c r="AJ24" s="95"/>
      <c r="AK24" s="94"/>
      <c r="AL24" s="94"/>
      <c r="AM24" s="95"/>
      <c r="AN24" s="95"/>
      <c r="AO24" s="94"/>
      <c r="AP24" s="94"/>
      <c r="AQ24" s="95"/>
      <c r="AR24" s="95"/>
      <c r="AS24" s="94"/>
      <c r="AT24" s="94"/>
      <c r="AU24" s="95"/>
      <c r="AV24" s="95"/>
    </row>
    <row r="25" spans="1:48" x14ac:dyDescent="0.3">
      <c r="A25" s="82"/>
      <c r="B25" s="4"/>
      <c r="C25" s="4"/>
      <c r="D25" s="75"/>
      <c r="E25" s="76"/>
      <c r="F25" s="23"/>
      <c r="G25" s="20"/>
      <c r="H25" s="50">
        <v>22</v>
      </c>
      <c r="I25" s="96"/>
      <c r="J25" s="94"/>
      <c r="K25" s="95"/>
      <c r="L25" s="95"/>
      <c r="M25" s="94"/>
      <c r="N25" s="94"/>
      <c r="O25" s="95"/>
      <c r="P25" s="95"/>
      <c r="Q25" s="94"/>
      <c r="R25" s="94"/>
      <c r="S25" s="95"/>
      <c r="T25" s="95"/>
      <c r="U25" s="94"/>
      <c r="V25" s="94"/>
      <c r="W25" s="95"/>
      <c r="X25" s="95"/>
      <c r="Y25" s="94"/>
      <c r="Z25" s="94"/>
      <c r="AA25" s="95"/>
      <c r="AB25" s="95"/>
      <c r="AC25" s="94"/>
      <c r="AD25" s="94"/>
      <c r="AE25" s="95"/>
      <c r="AF25" s="95"/>
      <c r="AG25" s="94"/>
      <c r="AH25" s="94"/>
      <c r="AI25" s="95"/>
      <c r="AJ25" s="95"/>
      <c r="AK25" s="94"/>
      <c r="AL25" s="94"/>
      <c r="AM25" s="95"/>
      <c r="AN25" s="95"/>
      <c r="AO25" s="94"/>
      <c r="AP25" s="94"/>
      <c r="AQ25" s="95"/>
      <c r="AR25" s="95"/>
      <c r="AS25" s="94"/>
      <c r="AT25" s="94"/>
      <c r="AU25" s="95"/>
      <c r="AV25" s="95"/>
    </row>
    <row r="26" spans="1:48" x14ac:dyDescent="0.3">
      <c r="A26" s="82"/>
      <c r="B26" s="4"/>
      <c r="C26" s="4"/>
      <c r="D26" s="75"/>
      <c r="E26" s="76"/>
      <c r="F26" s="23"/>
      <c r="G26" s="20"/>
      <c r="H26" s="50">
        <v>23</v>
      </c>
      <c r="I26" s="96"/>
      <c r="J26" s="94"/>
      <c r="K26" s="95"/>
      <c r="L26" s="95"/>
      <c r="M26" s="94"/>
      <c r="N26" s="94"/>
      <c r="O26" s="95"/>
      <c r="P26" s="95"/>
      <c r="Q26" s="94"/>
      <c r="R26" s="94"/>
      <c r="S26" s="95"/>
      <c r="T26" s="95"/>
      <c r="U26" s="94"/>
      <c r="V26" s="94"/>
      <c r="W26" s="95"/>
      <c r="X26" s="95"/>
      <c r="Y26" s="94"/>
      <c r="Z26" s="94"/>
      <c r="AA26" s="95"/>
      <c r="AB26" s="95"/>
      <c r="AC26" s="94"/>
      <c r="AD26" s="94"/>
      <c r="AE26" s="95"/>
      <c r="AF26" s="95"/>
      <c r="AG26" s="94"/>
      <c r="AH26" s="94"/>
      <c r="AI26" s="95"/>
      <c r="AJ26" s="95"/>
      <c r="AK26" s="94"/>
      <c r="AL26" s="94"/>
      <c r="AM26" s="95"/>
      <c r="AN26" s="95"/>
      <c r="AO26" s="94"/>
      <c r="AP26" s="94"/>
      <c r="AQ26" s="95"/>
      <c r="AR26" s="95"/>
      <c r="AS26" s="94"/>
      <c r="AT26" s="94"/>
      <c r="AU26" s="95"/>
      <c r="AV26" s="95"/>
    </row>
    <row r="27" spans="1:48" x14ac:dyDescent="0.3">
      <c r="A27" s="85"/>
      <c r="B27" s="85"/>
      <c r="C27" s="85"/>
      <c r="D27" s="85"/>
      <c r="E27" s="85"/>
      <c r="F27" s="86"/>
      <c r="G27" s="87"/>
      <c r="H27" s="50">
        <v>24</v>
      </c>
      <c r="I27" s="96"/>
      <c r="J27" s="94"/>
      <c r="K27" s="95"/>
      <c r="L27" s="95"/>
      <c r="M27" s="94"/>
      <c r="N27" s="94"/>
      <c r="O27" s="95"/>
      <c r="P27" s="95"/>
      <c r="Q27" s="94"/>
      <c r="R27" s="94"/>
      <c r="S27" s="95"/>
      <c r="T27" s="95"/>
      <c r="U27" s="94"/>
      <c r="V27" s="94"/>
      <c r="W27" s="95"/>
      <c r="X27" s="95"/>
      <c r="Y27" s="94"/>
      <c r="Z27" s="94"/>
      <c r="AA27" s="95"/>
      <c r="AB27" s="95"/>
      <c r="AC27" s="94"/>
      <c r="AD27" s="94"/>
      <c r="AE27" s="95"/>
      <c r="AF27" s="95"/>
      <c r="AG27" s="94"/>
      <c r="AH27" s="94"/>
      <c r="AI27" s="95"/>
      <c r="AJ27" s="95"/>
      <c r="AK27" s="94"/>
      <c r="AL27" s="94"/>
      <c r="AM27" s="95"/>
      <c r="AN27" s="95"/>
      <c r="AO27" s="94"/>
      <c r="AP27" s="94"/>
      <c r="AQ27" s="95"/>
      <c r="AR27" s="95"/>
      <c r="AS27" s="94"/>
      <c r="AT27" s="94"/>
      <c r="AU27" s="95"/>
      <c r="AV27" s="95"/>
    </row>
    <row r="28" spans="1:48" x14ac:dyDescent="0.3">
      <c r="A28" s="88"/>
      <c r="B28" s="88"/>
      <c r="C28" s="88"/>
      <c r="D28" s="88"/>
      <c r="E28" s="88"/>
      <c r="F28" s="83"/>
      <c r="G28" s="84"/>
      <c r="H28" s="50">
        <v>25</v>
      </c>
      <c r="I28" s="96"/>
      <c r="J28" s="94"/>
      <c r="K28" s="95"/>
      <c r="L28" s="95"/>
      <c r="M28" s="94"/>
      <c r="N28" s="94"/>
      <c r="O28" s="95"/>
      <c r="P28" s="95"/>
      <c r="Q28" s="94"/>
      <c r="R28" s="94"/>
      <c r="S28" s="95"/>
      <c r="T28" s="95"/>
      <c r="U28" s="94"/>
      <c r="V28" s="94"/>
      <c r="W28" s="95"/>
      <c r="X28" s="95"/>
      <c r="Y28" s="94"/>
      <c r="Z28" s="94"/>
      <c r="AA28" s="95"/>
      <c r="AB28" s="95"/>
      <c r="AC28" s="94"/>
      <c r="AD28" s="94"/>
      <c r="AE28" s="95"/>
      <c r="AF28" s="95"/>
      <c r="AG28" s="94"/>
      <c r="AH28" s="94"/>
      <c r="AI28" s="95"/>
      <c r="AJ28" s="95"/>
      <c r="AK28" s="94"/>
      <c r="AL28" s="94"/>
      <c r="AM28" s="95"/>
      <c r="AN28" s="95"/>
      <c r="AO28" s="94"/>
      <c r="AP28" s="94"/>
      <c r="AQ28" s="95"/>
      <c r="AR28" s="95"/>
      <c r="AS28" s="94"/>
      <c r="AT28" s="94"/>
      <c r="AU28" s="95"/>
      <c r="AV28" s="95"/>
    </row>
    <row r="29" spans="1:48" x14ac:dyDescent="0.3">
      <c r="A29" s="88"/>
      <c r="B29" s="88"/>
      <c r="C29" s="88"/>
      <c r="D29" s="88"/>
      <c r="E29" s="88"/>
      <c r="F29" s="83"/>
      <c r="G29" s="84"/>
      <c r="H29" s="50">
        <v>26</v>
      </c>
      <c r="I29" s="96"/>
      <c r="J29" s="94"/>
      <c r="K29" s="95"/>
      <c r="L29" s="95"/>
      <c r="M29" s="94"/>
      <c r="N29" s="94"/>
      <c r="O29" s="95"/>
      <c r="P29" s="95"/>
      <c r="Q29" s="94"/>
      <c r="R29" s="94"/>
      <c r="S29" s="95"/>
      <c r="T29" s="95"/>
      <c r="U29" s="94"/>
      <c r="V29" s="94"/>
      <c r="W29" s="95"/>
      <c r="X29" s="95"/>
      <c r="Y29" s="94"/>
      <c r="Z29" s="94"/>
      <c r="AA29" s="95"/>
      <c r="AB29" s="95"/>
      <c r="AC29" s="94"/>
      <c r="AD29" s="94"/>
      <c r="AE29" s="95"/>
      <c r="AF29" s="95"/>
      <c r="AG29" s="94"/>
      <c r="AH29" s="94"/>
      <c r="AI29" s="95"/>
      <c r="AJ29" s="95"/>
      <c r="AK29" s="94"/>
      <c r="AL29" s="94"/>
      <c r="AM29" s="95"/>
      <c r="AN29" s="95"/>
      <c r="AO29" s="94"/>
      <c r="AP29" s="94"/>
      <c r="AQ29" s="95"/>
      <c r="AR29" s="95"/>
      <c r="AS29" s="94"/>
      <c r="AT29" s="94"/>
      <c r="AU29" s="95"/>
      <c r="AV29" s="95"/>
    </row>
    <row r="30" spans="1:48" x14ac:dyDescent="0.3">
      <c r="A30" s="88"/>
      <c r="B30" s="88"/>
      <c r="C30" s="88"/>
      <c r="D30" s="88"/>
      <c r="E30" s="88"/>
      <c r="F30" s="83"/>
      <c r="G30" s="84"/>
      <c r="H30" s="50">
        <v>27</v>
      </c>
      <c r="I30" s="96"/>
      <c r="J30" s="94"/>
      <c r="K30" s="95"/>
      <c r="L30" s="95"/>
      <c r="M30" s="94"/>
      <c r="N30" s="94"/>
      <c r="O30" s="95"/>
      <c r="P30" s="95"/>
      <c r="Q30" s="94"/>
      <c r="R30" s="94"/>
      <c r="S30" s="95"/>
      <c r="T30" s="95"/>
      <c r="U30" s="94"/>
      <c r="V30" s="94"/>
      <c r="W30" s="95"/>
      <c r="X30" s="95"/>
      <c r="Y30" s="94"/>
      <c r="Z30" s="94"/>
      <c r="AA30" s="95"/>
      <c r="AB30" s="95"/>
      <c r="AC30" s="94"/>
      <c r="AD30" s="94"/>
      <c r="AE30" s="95"/>
      <c r="AF30" s="95"/>
      <c r="AG30" s="94"/>
      <c r="AH30" s="94"/>
      <c r="AI30" s="95"/>
      <c r="AJ30" s="95"/>
      <c r="AK30" s="94"/>
      <c r="AL30" s="94"/>
      <c r="AM30" s="95"/>
      <c r="AN30" s="95"/>
      <c r="AO30" s="94"/>
      <c r="AP30" s="94"/>
      <c r="AQ30" s="95"/>
      <c r="AR30" s="95"/>
      <c r="AS30" s="94"/>
      <c r="AT30" s="94"/>
      <c r="AU30" s="95"/>
      <c r="AV30" s="95"/>
    </row>
    <row r="31" spans="1:48" x14ac:dyDescent="0.3">
      <c r="A31" s="88"/>
      <c r="B31" s="88"/>
      <c r="C31" s="88"/>
      <c r="D31" s="88"/>
      <c r="E31" s="88"/>
      <c r="F31" s="83"/>
      <c r="G31" s="84"/>
      <c r="H31" s="50">
        <v>28</v>
      </c>
      <c r="I31" s="96"/>
      <c r="J31" s="94"/>
      <c r="K31" s="95"/>
      <c r="L31" s="95"/>
      <c r="M31" s="94"/>
      <c r="N31" s="94"/>
      <c r="O31" s="95"/>
      <c r="P31" s="95"/>
      <c r="Q31" s="94"/>
      <c r="R31" s="94"/>
      <c r="S31" s="95"/>
      <c r="T31" s="95"/>
      <c r="U31" s="94"/>
      <c r="V31" s="94"/>
      <c r="W31" s="95"/>
      <c r="X31" s="95"/>
      <c r="Y31" s="94"/>
      <c r="Z31" s="94"/>
      <c r="AA31" s="95"/>
      <c r="AB31" s="95"/>
      <c r="AC31" s="94"/>
      <c r="AD31" s="94"/>
      <c r="AE31" s="95"/>
      <c r="AF31" s="95"/>
      <c r="AG31" s="94"/>
      <c r="AH31" s="94"/>
      <c r="AI31" s="95"/>
      <c r="AJ31" s="95"/>
      <c r="AK31" s="94"/>
      <c r="AL31" s="94"/>
      <c r="AM31" s="95"/>
      <c r="AN31" s="95"/>
      <c r="AO31" s="94"/>
      <c r="AP31" s="94"/>
      <c r="AQ31" s="95"/>
      <c r="AR31" s="95"/>
      <c r="AS31" s="94"/>
      <c r="AT31" s="94"/>
      <c r="AU31" s="95"/>
      <c r="AV31" s="95"/>
    </row>
    <row r="32" spans="1:48" x14ac:dyDescent="0.3">
      <c r="A32" s="88"/>
      <c r="B32" s="88"/>
      <c r="C32" s="88"/>
      <c r="D32" s="88"/>
      <c r="E32" s="88"/>
      <c r="F32" s="83"/>
      <c r="G32" s="84"/>
      <c r="H32" s="50">
        <v>29</v>
      </c>
      <c r="I32" s="96"/>
      <c r="J32" s="94"/>
      <c r="K32" s="95"/>
      <c r="L32" s="95"/>
      <c r="M32" s="94"/>
      <c r="N32" s="94"/>
      <c r="O32" s="95"/>
      <c r="P32" s="95"/>
      <c r="Q32" s="94"/>
      <c r="R32" s="94"/>
      <c r="S32" s="95"/>
      <c r="T32" s="95"/>
      <c r="U32" s="94"/>
      <c r="V32" s="94"/>
      <c r="W32" s="95"/>
      <c r="X32" s="95"/>
      <c r="Y32" s="94"/>
      <c r="Z32" s="94"/>
      <c r="AA32" s="95"/>
      <c r="AB32" s="95"/>
      <c r="AC32" s="94"/>
      <c r="AD32" s="94"/>
      <c r="AE32" s="95"/>
      <c r="AF32" s="95"/>
      <c r="AG32" s="94"/>
      <c r="AH32" s="94"/>
      <c r="AI32" s="95"/>
      <c r="AJ32" s="95"/>
      <c r="AK32" s="94"/>
      <c r="AL32" s="94"/>
      <c r="AM32" s="95"/>
      <c r="AN32" s="95"/>
      <c r="AO32" s="94"/>
      <c r="AP32" s="94"/>
      <c r="AQ32" s="95"/>
      <c r="AR32" s="95"/>
      <c r="AS32" s="94"/>
      <c r="AT32" s="94"/>
      <c r="AU32" s="95"/>
      <c r="AV32" s="95"/>
    </row>
    <row r="33" spans="1:48" x14ac:dyDescent="0.3">
      <c r="A33" s="88"/>
      <c r="B33" s="88"/>
      <c r="C33" s="88"/>
      <c r="D33" s="88"/>
      <c r="E33" s="88"/>
      <c r="F33" s="83"/>
      <c r="G33" s="84"/>
      <c r="H33" s="50">
        <v>30</v>
      </c>
      <c r="I33" s="96"/>
      <c r="J33" s="94"/>
      <c r="K33" s="95"/>
      <c r="L33" s="95"/>
      <c r="M33" s="94"/>
      <c r="N33" s="94"/>
      <c r="O33" s="95"/>
      <c r="P33" s="95"/>
      <c r="Q33" s="94"/>
      <c r="R33" s="94"/>
      <c r="S33" s="95"/>
      <c r="T33" s="95"/>
      <c r="U33" s="94"/>
      <c r="V33" s="94"/>
      <c r="W33" s="95"/>
      <c r="X33" s="95"/>
      <c r="Y33" s="94"/>
      <c r="Z33" s="94"/>
      <c r="AA33" s="95"/>
      <c r="AB33" s="95"/>
      <c r="AC33" s="94"/>
      <c r="AD33" s="94"/>
      <c r="AE33" s="95"/>
      <c r="AF33" s="95"/>
      <c r="AG33" s="94"/>
      <c r="AH33" s="94"/>
      <c r="AI33" s="95"/>
      <c r="AJ33" s="95"/>
      <c r="AK33" s="94"/>
      <c r="AL33" s="94"/>
      <c r="AM33" s="95"/>
      <c r="AN33" s="95"/>
      <c r="AO33" s="94"/>
      <c r="AP33" s="94"/>
      <c r="AQ33" s="95"/>
      <c r="AR33" s="95"/>
      <c r="AS33" s="94"/>
      <c r="AT33" s="94"/>
      <c r="AU33" s="95"/>
      <c r="AV33" s="95"/>
    </row>
    <row r="34" spans="1:48" x14ac:dyDescent="0.3">
      <c r="H34" s="6" t="s">
        <v>18</v>
      </c>
      <c r="I34" s="7">
        <v>0.50694444444444442</v>
      </c>
      <c r="J34" s="8"/>
      <c r="K34" s="7">
        <v>0.47986111111111113</v>
      </c>
      <c r="L34" s="8"/>
      <c r="M34" s="7">
        <v>0.55208333333333337</v>
      </c>
      <c r="N34" s="8"/>
      <c r="O34" s="7"/>
      <c r="P34" s="8"/>
      <c r="Q34" s="7">
        <v>0.57013888888888886</v>
      </c>
      <c r="R34" s="8"/>
      <c r="S34" s="8"/>
      <c r="T34" s="8"/>
      <c r="U34" s="7">
        <v>0.52500000000000002</v>
      </c>
      <c r="V34" s="8"/>
      <c r="W34" s="7">
        <v>0.53402777777777777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3">
      <c r="A35" s="9" t="s">
        <v>19</v>
      </c>
      <c r="B35" t="s">
        <v>20</v>
      </c>
      <c r="H35" s="6" t="s">
        <v>21</v>
      </c>
      <c r="I35" s="8"/>
      <c r="J35" s="7">
        <v>0.66666666666666663</v>
      </c>
      <c r="K35" s="7">
        <v>0.68263888888888891</v>
      </c>
      <c r="L35" s="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3">
      <c r="A36" s="10" t="s">
        <v>19</v>
      </c>
      <c r="B36" t="s">
        <v>22</v>
      </c>
      <c r="H36" s="6" t="s">
        <v>23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 spans="1:48" x14ac:dyDescent="0.3">
      <c r="C37" s="71" t="s">
        <v>212</v>
      </c>
      <c r="D37" s="74" t="s">
        <v>213</v>
      </c>
      <c r="E37" s="73"/>
      <c r="F37" s="73"/>
      <c r="G37" s="73"/>
      <c r="H37" s="12"/>
    </row>
    <row r="38" spans="1:48" x14ac:dyDescent="0.3">
      <c r="A38" s="13" t="s">
        <v>24</v>
      </c>
      <c r="B38" s="1"/>
      <c r="C38" s="2"/>
      <c r="D38" s="2"/>
      <c r="E38" s="2"/>
      <c r="F38" s="2"/>
      <c r="G38" s="2"/>
      <c r="L38" s="13" t="s">
        <v>39</v>
      </c>
      <c r="M38" s="1"/>
      <c r="N38" s="2"/>
      <c r="O38" s="2"/>
      <c r="P38" s="2"/>
      <c r="Q38" s="2"/>
      <c r="R38" s="2"/>
      <c r="S38" s="2"/>
      <c r="T38" s="2"/>
      <c r="U38" s="2"/>
    </row>
    <row r="39" spans="1:48" x14ac:dyDescent="0.3">
      <c r="A39" s="9" t="s">
        <v>16</v>
      </c>
      <c r="B39" s="9" t="s">
        <v>25</v>
      </c>
      <c r="C39" s="9" t="s">
        <v>26</v>
      </c>
      <c r="D39" s="72" t="s">
        <v>27</v>
      </c>
      <c r="E39" s="10" t="s">
        <v>28</v>
      </c>
      <c r="F39" s="10" t="s">
        <v>17</v>
      </c>
      <c r="G39" s="10" t="s">
        <v>29</v>
      </c>
      <c r="L39" s="9" t="s">
        <v>34</v>
      </c>
      <c r="M39" s="10" t="s">
        <v>35</v>
      </c>
      <c r="N39" s="10" t="s">
        <v>36</v>
      </c>
      <c r="O39" s="10" t="s">
        <v>37</v>
      </c>
      <c r="P39" s="10" t="s">
        <v>42</v>
      </c>
      <c r="Q39" s="10" t="s">
        <v>38</v>
      </c>
      <c r="R39" s="10" t="s">
        <v>30</v>
      </c>
      <c r="S39" s="10" t="s">
        <v>31</v>
      </c>
      <c r="T39" s="10" t="s">
        <v>32</v>
      </c>
      <c r="U39" s="10"/>
    </row>
    <row r="40" spans="1:48" x14ac:dyDescent="0.3">
      <c r="A40" s="14">
        <v>2</v>
      </c>
      <c r="B40" s="15">
        <v>0.22222222222222221</v>
      </c>
      <c r="C40" s="16" t="s">
        <v>4</v>
      </c>
      <c r="D40" s="16"/>
      <c r="E40" s="17"/>
      <c r="F40" s="17">
        <v>57</v>
      </c>
      <c r="G40" s="17" t="s">
        <v>43</v>
      </c>
      <c r="K40" s="25"/>
      <c r="L40" s="14" t="s">
        <v>40</v>
      </c>
      <c r="M40" s="17" t="s">
        <v>45</v>
      </c>
      <c r="N40" s="17"/>
      <c r="O40" s="17"/>
      <c r="P40" s="17">
        <v>3</v>
      </c>
      <c r="Q40" s="17"/>
      <c r="R40" s="17"/>
      <c r="S40" s="17"/>
      <c r="T40" s="17"/>
      <c r="U40" s="17"/>
    </row>
    <row r="41" spans="1:48" x14ac:dyDescent="0.3">
      <c r="A41" s="14">
        <v>3</v>
      </c>
      <c r="B41" s="15">
        <v>0.23611111111111113</v>
      </c>
      <c r="C41" s="16" t="s">
        <v>44</v>
      </c>
      <c r="D41" s="16"/>
      <c r="E41" s="17"/>
      <c r="F41" s="17">
        <v>57</v>
      </c>
      <c r="G41" s="17" t="s">
        <v>43</v>
      </c>
      <c r="K41" s="25"/>
      <c r="L41" s="14" t="s">
        <v>41</v>
      </c>
      <c r="M41" s="17"/>
      <c r="N41" s="17"/>
      <c r="O41" s="17"/>
      <c r="P41" s="17">
        <v>3</v>
      </c>
      <c r="Q41" s="17"/>
      <c r="R41" s="17"/>
      <c r="S41" s="17"/>
      <c r="T41" s="17"/>
      <c r="U41" s="17"/>
    </row>
    <row r="42" spans="1:48" x14ac:dyDescent="0.3">
      <c r="A42" s="14">
        <v>5</v>
      </c>
      <c r="B42" s="15">
        <v>0.25694444444444448</v>
      </c>
      <c r="C42" s="16" t="s">
        <v>4</v>
      </c>
      <c r="D42" s="16"/>
      <c r="E42" s="17">
        <v>12</v>
      </c>
      <c r="F42" s="17">
        <v>57</v>
      </c>
      <c r="G42" s="17"/>
      <c r="K42" s="25"/>
      <c r="L42" s="16" t="s">
        <v>51</v>
      </c>
      <c r="M42" s="17"/>
      <c r="N42" s="17"/>
      <c r="O42" s="17"/>
      <c r="P42" s="17"/>
      <c r="Q42" s="17"/>
      <c r="R42" s="17"/>
      <c r="S42" s="17">
        <v>30</v>
      </c>
      <c r="T42" s="17"/>
      <c r="U42" s="17"/>
    </row>
    <row r="43" spans="1:48" x14ac:dyDescent="0.3">
      <c r="A43" s="14">
        <v>6</v>
      </c>
      <c r="B43" s="15">
        <v>0.25694444444444448</v>
      </c>
      <c r="C43" s="16" t="s">
        <v>4</v>
      </c>
      <c r="D43" s="16"/>
      <c r="E43" s="17"/>
      <c r="F43" s="17">
        <v>57</v>
      </c>
      <c r="G43" s="17" t="s">
        <v>43</v>
      </c>
      <c r="K43" s="25"/>
      <c r="L43" s="16"/>
      <c r="M43" s="17"/>
      <c r="N43" s="17"/>
      <c r="O43" s="17"/>
      <c r="P43" s="17"/>
      <c r="Q43" s="17"/>
      <c r="R43" s="17"/>
      <c r="S43" s="17"/>
      <c r="T43" s="17"/>
      <c r="U43" s="17"/>
    </row>
    <row r="44" spans="1:48" x14ac:dyDescent="0.3">
      <c r="A44" s="14">
        <v>8</v>
      </c>
      <c r="B44" s="15">
        <v>0.27777777777777779</v>
      </c>
      <c r="C44" s="16" t="s">
        <v>4</v>
      </c>
      <c r="D44" s="16"/>
      <c r="E44" s="17"/>
      <c r="F44" s="17">
        <v>57</v>
      </c>
      <c r="G44" s="17" t="s">
        <v>43</v>
      </c>
      <c r="K44" s="25"/>
      <c r="L44" s="16"/>
      <c r="M44" s="17"/>
      <c r="N44" s="17"/>
      <c r="O44" s="17"/>
      <c r="P44" s="17"/>
      <c r="Q44" s="17"/>
      <c r="R44" s="17"/>
      <c r="S44" s="17"/>
      <c r="T44" s="17"/>
      <c r="U44" s="17"/>
    </row>
    <row r="45" spans="1:48" x14ac:dyDescent="0.3">
      <c r="A45" s="14">
        <v>10</v>
      </c>
      <c r="B45" s="15">
        <v>0.22916666666666666</v>
      </c>
      <c r="C45" s="16" t="s">
        <v>4</v>
      </c>
      <c r="D45" s="16"/>
      <c r="E45" s="17"/>
      <c r="F45" s="17">
        <v>57</v>
      </c>
      <c r="G45" s="17" t="s">
        <v>43</v>
      </c>
      <c r="K45" s="25"/>
      <c r="L45" s="16"/>
      <c r="M45" s="17"/>
      <c r="N45" s="17"/>
      <c r="O45" s="17"/>
      <c r="P45" s="17"/>
      <c r="Q45" s="17"/>
      <c r="R45" s="17"/>
      <c r="S45" s="17"/>
      <c r="T45" s="17"/>
      <c r="U45" s="17"/>
    </row>
    <row r="46" spans="1:48" x14ac:dyDescent="0.3">
      <c r="A46" s="14"/>
      <c r="B46" s="15"/>
      <c r="C46" s="16"/>
      <c r="D46" s="16"/>
      <c r="E46" s="17"/>
      <c r="F46" s="17"/>
      <c r="G46" s="17"/>
      <c r="K46" s="25"/>
      <c r="L46" s="16"/>
      <c r="M46" s="17"/>
      <c r="N46" s="17"/>
      <c r="O46" s="17"/>
      <c r="P46" s="17"/>
      <c r="Q46" s="17"/>
      <c r="R46" s="17"/>
      <c r="S46" s="17"/>
      <c r="T46" s="17"/>
      <c r="U46" s="17"/>
    </row>
    <row r="47" spans="1:48" x14ac:dyDescent="0.3">
      <c r="A47" s="14"/>
      <c r="B47" s="15"/>
      <c r="C47" s="16"/>
      <c r="D47" s="16"/>
      <c r="E47" s="17"/>
      <c r="F47" s="17"/>
      <c r="G47" s="17"/>
      <c r="K47" s="25"/>
      <c r="L47" s="16"/>
      <c r="M47" s="17"/>
      <c r="N47" s="17"/>
      <c r="O47" s="17"/>
      <c r="P47" s="17"/>
      <c r="Q47" s="17"/>
      <c r="R47" s="17"/>
      <c r="S47" s="17"/>
      <c r="T47" s="17"/>
      <c r="U47" s="17"/>
    </row>
    <row r="48" spans="1:48" x14ac:dyDescent="0.3">
      <c r="A48" s="14"/>
      <c r="B48" s="15"/>
      <c r="C48" s="16"/>
      <c r="D48" s="16"/>
      <c r="E48" s="17"/>
      <c r="F48" s="17"/>
      <c r="G48" s="17"/>
      <c r="K48" s="25"/>
      <c r="L48" s="16"/>
      <c r="M48" s="17"/>
      <c r="N48" s="17"/>
      <c r="O48" s="17"/>
      <c r="P48" s="17"/>
      <c r="Q48" s="17"/>
      <c r="R48" s="17"/>
      <c r="S48" s="17"/>
      <c r="T48" s="17"/>
      <c r="U48" s="17"/>
    </row>
    <row r="49" spans="1:21" x14ac:dyDescent="0.3">
      <c r="A49" s="14"/>
      <c r="B49" s="15"/>
      <c r="C49" s="16"/>
      <c r="D49" s="16"/>
      <c r="E49" s="17"/>
      <c r="F49" s="17"/>
      <c r="G49" s="17"/>
      <c r="K49" s="25"/>
      <c r="L49" s="16"/>
      <c r="M49" s="17"/>
      <c r="N49" s="17"/>
      <c r="O49" s="17"/>
      <c r="P49" s="17"/>
      <c r="Q49" s="17"/>
      <c r="R49" s="17"/>
      <c r="S49" s="17"/>
      <c r="T49" s="17"/>
      <c r="U49" s="17"/>
    </row>
    <row r="50" spans="1:21" x14ac:dyDescent="0.3">
      <c r="A50" s="14"/>
      <c r="B50" s="15"/>
      <c r="C50" s="16"/>
      <c r="D50" s="16"/>
      <c r="E50" s="17"/>
      <c r="F50" s="17"/>
      <c r="G50" s="17"/>
      <c r="K50" s="25"/>
      <c r="L50" s="16"/>
      <c r="M50" s="17"/>
      <c r="N50" s="17"/>
      <c r="O50" s="17"/>
      <c r="P50" s="17"/>
      <c r="Q50" s="17"/>
      <c r="R50" s="17"/>
      <c r="S50" s="17"/>
      <c r="T50" s="17"/>
      <c r="U50" s="17"/>
    </row>
    <row r="51" spans="1:21" x14ac:dyDescent="0.3">
      <c r="A51" s="14"/>
      <c r="B51" s="15"/>
      <c r="C51" s="16"/>
      <c r="D51" s="16"/>
      <c r="E51" s="17"/>
      <c r="F51" s="17"/>
      <c r="G51" s="17"/>
      <c r="K51" s="25"/>
      <c r="L51" s="16"/>
      <c r="M51" s="17"/>
      <c r="N51" s="17"/>
      <c r="O51" s="17"/>
      <c r="P51" s="17"/>
      <c r="Q51" s="17"/>
      <c r="R51" s="17"/>
      <c r="S51" s="17"/>
      <c r="T51" s="17"/>
      <c r="U51" s="17"/>
    </row>
    <row r="52" spans="1:21" x14ac:dyDescent="0.3">
      <c r="A52" s="14"/>
      <c r="B52" s="15"/>
      <c r="C52" s="16"/>
      <c r="D52" s="16"/>
      <c r="E52" s="17"/>
      <c r="F52" s="17"/>
      <c r="G52" s="17"/>
      <c r="K52" s="25"/>
      <c r="L52" s="16"/>
      <c r="M52" s="17"/>
      <c r="N52" s="17"/>
      <c r="O52" s="17"/>
      <c r="P52" s="17"/>
      <c r="Q52" s="17"/>
      <c r="R52" s="17"/>
      <c r="S52" s="17"/>
      <c r="T52" s="17"/>
      <c r="U52" s="17"/>
    </row>
    <row r="53" spans="1:21" x14ac:dyDescent="0.3">
      <c r="A53" s="14"/>
      <c r="B53" s="15"/>
      <c r="C53" s="16"/>
      <c r="D53" s="16"/>
      <c r="E53" s="17"/>
      <c r="F53" s="17"/>
      <c r="G53" s="17"/>
      <c r="K53" s="25"/>
      <c r="L53" s="16"/>
      <c r="M53" s="17"/>
      <c r="N53" s="17"/>
      <c r="O53" s="17"/>
      <c r="P53" s="17"/>
      <c r="Q53" s="17"/>
      <c r="R53" s="17"/>
      <c r="S53" s="17"/>
      <c r="T53" s="17"/>
      <c r="U53" s="17"/>
    </row>
    <row r="54" spans="1:21" x14ac:dyDescent="0.3">
      <c r="A54" s="14"/>
      <c r="B54" s="15"/>
      <c r="C54" s="16"/>
      <c r="D54" s="16"/>
      <c r="E54" s="17"/>
      <c r="F54" s="17"/>
      <c r="G54" s="17"/>
      <c r="K54" s="25"/>
      <c r="L54" s="16"/>
      <c r="M54" s="17"/>
      <c r="N54" s="17"/>
      <c r="O54" s="17"/>
      <c r="P54" s="17"/>
      <c r="Q54" s="17"/>
      <c r="R54" s="17"/>
      <c r="S54" s="17"/>
      <c r="T54" s="17"/>
      <c r="U54" s="17"/>
    </row>
    <row r="55" spans="1:21" x14ac:dyDescent="0.3">
      <c r="A55" s="14"/>
      <c r="B55" s="15"/>
      <c r="C55" s="16"/>
      <c r="D55" s="16"/>
      <c r="E55" s="17"/>
      <c r="F55" s="17"/>
      <c r="G55" s="17"/>
      <c r="K55" s="25"/>
      <c r="L55" s="16"/>
      <c r="M55" s="17"/>
      <c r="N55" s="17"/>
      <c r="O55" s="17"/>
      <c r="P55" s="17"/>
      <c r="Q55" s="17"/>
      <c r="R55" s="17"/>
      <c r="S55" s="17"/>
      <c r="T55" s="17"/>
      <c r="U55" s="17"/>
    </row>
    <row r="56" spans="1:21" x14ac:dyDescent="0.3">
      <c r="A56" s="14"/>
      <c r="B56" s="15"/>
      <c r="C56" s="16"/>
      <c r="D56" s="16"/>
      <c r="E56" s="17"/>
      <c r="F56" s="17"/>
      <c r="G56" s="17"/>
      <c r="K56" s="25"/>
      <c r="L56" s="16"/>
      <c r="M56" s="17"/>
      <c r="N56" s="17"/>
      <c r="O56" s="17"/>
      <c r="P56" s="17"/>
      <c r="Q56" s="17"/>
      <c r="R56" s="17"/>
      <c r="S56" s="17"/>
      <c r="T56" s="17"/>
      <c r="U56" s="17"/>
    </row>
    <row r="57" spans="1:21" x14ac:dyDescent="0.3">
      <c r="A57" s="14"/>
      <c r="B57" s="15"/>
      <c r="C57" s="16"/>
      <c r="D57" s="16"/>
      <c r="E57" s="17"/>
      <c r="F57" s="17"/>
      <c r="G57" s="17"/>
      <c r="K57" s="25"/>
      <c r="L57" s="16"/>
      <c r="M57" s="17"/>
      <c r="N57" s="17"/>
      <c r="O57" s="17"/>
      <c r="P57" s="17"/>
      <c r="Q57" s="17"/>
      <c r="R57" s="17"/>
      <c r="S57" s="17"/>
      <c r="T57" s="17"/>
      <c r="U57" s="17"/>
    </row>
    <row r="58" spans="1:21" x14ac:dyDescent="0.3">
      <c r="A58" s="14"/>
      <c r="B58" s="15"/>
      <c r="C58" s="16"/>
      <c r="D58" s="16"/>
      <c r="E58" s="17"/>
      <c r="F58" s="17"/>
      <c r="G58" s="17"/>
      <c r="K58" s="25"/>
      <c r="L58" s="16"/>
      <c r="M58" s="17"/>
      <c r="N58" s="17"/>
      <c r="O58" s="17"/>
      <c r="P58" s="17"/>
      <c r="Q58" s="17"/>
      <c r="R58" s="17"/>
      <c r="S58" s="17"/>
      <c r="T58" s="17"/>
      <c r="U58" s="17"/>
    </row>
    <row r="59" spans="1:21" x14ac:dyDescent="0.3">
      <c r="A59" s="14"/>
      <c r="B59" s="15"/>
      <c r="C59" s="16"/>
      <c r="D59" s="16"/>
      <c r="E59" s="17"/>
      <c r="F59" s="17"/>
      <c r="G59" s="17"/>
      <c r="K59" s="25"/>
      <c r="L59" s="16"/>
      <c r="M59" s="17"/>
      <c r="N59" s="17"/>
      <c r="O59" s="17"/>
      <c r="P59" s="17"/>
      <c r="Q59" s="17"/>
      <c r="R59" s="17"/>
      <c r="S59" s="17"/>
      <c r="T59" s="17"/>
      <c r="U59" s="17"/>
    </row>
    <row r="60" spans="1:21" x14ac:dyDescent="0.3">
      <c r="A60" s="14"/>
      <c r="B60" s="15"/>
      <c r="C60" s="16"/>
      <c r="D60" s="16"/>
      <c r="E60" s="17"/>
      <c r="F60" s="17"/>
      <c r="G60" s="17"/>
      <c r="K60" s="25"/>
      <c r="L60" s="16"/>
      <c r="M60" s="17"/>
      <c r="N60" s="17"/>
      <c r="O60" s="17"/>
      <c r="P60" s="17"/>
      <c r="Q60" s="17"/>
      <c r="R60" s="17"/>
      <c r="S60" s="17"/>
      <c r="T60" s="17"/>
      <c r="U60" s="17"/>
    </row>
  </sheetData>
  <conditionalFormatting sqref="I1:AV33">
    <cfRule type="expression" dxfId="0" priority="1">
      <formula>ISODD(I$1)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READ_ME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dc:description/>
  <cp:lastModifiedBy>Rafael</cp:lastModifiedBy>
  <cp:revision>4</cp:revision>
  <dcterms:created xsi:type="dcterms:W3CDTF">2018-02-20T20:15:19Z</dcterms:created>
  <dcterms:modified xsi:type="dcterms:W3CDTF">2026-04-06T13:58:55Z</dcterms:modified>
  <dc:language>pt-BR</dc:language>
</cp:coreProperties>
</file>